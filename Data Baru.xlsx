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KRIPSI\DOKUMEN dan DATA\SFA + CLUSTERING\DATA\"/>
    </mc:Choice>
  </mc:AlternateContent>
  <xr:revisionPtr revIDLastSave="0" documentId="13_ncr:1_{E8B284C4-BF69-4F5A-8A6A-19A254422C48}" xr6:coauthVersionLast="47" xr6:coauthVersionMax="47" xr10:uidLastSave="{00000000-0000-0000-0000-000000000000}"/>
  <bookViews>
    <workbookView xWindow="-120" yWindow="-120" windowWidth="20730" windowHeight="11040" firstSheet="1" activeTab="1" xr2:uid="{55282271-04A3-440A-8386-0CF9295ACA92}"/>
  </bookViews>
  <sheets>
    <sheet name="Sheet1" sheetId="1" r:id="rId1"/>
    <sheet name="Efesiensi" sheetId="4" r:id="rId2"/>
    <sheet name="Sheet2" sheetId="2" r:id="rId3"/>
    <sheet name="Sheet3" sheetId="3" r:id="rId4"/>
    <sheet name="Sheet4" sheetId="5" r:id="rId5"/>
    <sheet name="Proporsi" sheetId="6" r:id="rId6"/>
    <sheet name="Cluster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  <c r="F4" i="6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W2" i="6"/>
  <c r="V2" i="6"/>
  <c r="U2" i="6"/>
  <c r="T2" i="6"/>
  <c r="S2" i="6"/>
  <c r="R2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H2" i="6"/>
  <c r="G2" i="6"/>
  <c r="F3" i="6"/>
  <c r="F2" i="6"/>
  <c r="E3" i="6"/>
  <c r="E2" i="6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" i="1"/>
  <c r="O20" i="3"/>
  <c r="P20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" i="3"/>
</calcChain>
</file>

<file path=xl/sharedStrings.xml><?xml version="1.0" encoding="utf-8"?>
<sst xmlns="http://schemas.openxmlformats.org/spreadsheetml/2006/main" count="362" uniqueCount="160">
  <si>
    <t>No.</t>
  </si>
  <si>
    <t>Satuan PLN/Provinsi</t>
  </si>
  <si>
    <t>UID Aceh</t>
  </si>
  <si>
    <t>UID Sumatera Utara</t>
  </si>
  <si>
    <t>UID Sumatera Barat</t>
  </si>
  <si>
    <t>UID Riau</t>
  </si>
  <si>
    <t>UID Kepulauan Riau</t>
  </si>
  <si>
    <t>UID Sumatera Selatan</t>
  </si>
  <si>
    <t>UID Jambi</t>
  </si>
  <si>
    <t>UID Bengkulu</t>
  </si>
  <si>
    <t>UIW Bangka Belitung</t>
  </si>
  <si>
    <t>UID Lampung</t>
  </si>
  <si>
    <t>UID Kalimantan Barat</t>
  </si>
  <si>
    <t>UID Kalimantan Selatan</t>
  </si>
  <si>
    <t>UID Kalimantan Tengah</t>
  </si>
  <si>
    <t>UID Kalimantan Timur dan Utara</t>
  </si>
  <si>
    <t>UID Sulawesi Utara</t>
  </si>
  <si>
    <t>UID Sulawesi Tengah</t>
  </si>
  <si>
    <t>UID Gorontalo</t>
  </si>
  <si>
    <t>UID Sulawesi Selatan</t>
  </si>
  <si>
    <t>UID Sulawesi Tenggara</t>
  </si>
  <si>
    <t>UID Sulawesi Barat</t>
  </si>
  <si>
    <t>UIW Maluku</t>
  </si>
  <si>
    <t>UIW Maluku Utara</t>
  </si>
  <si>
    <t xml:space="preserve">UIW Papua </t>
  </si>
  <si>
    <t>UIW Papua Barat</t>
  </si>
  <si>
    <t>UID Bali</t>
  </si>
  <si>
    <t>UIW Nusa Tenggara Barat</t>
  </si>
  <si>
    <t>UIW Nusa Tenggara Timur</t>
  </si>
  <si>
    <t>UID Jawa Timur</t>
  </si>
  <si>
    <t>UID Jawa Tengah</t>
  </si>
  <si>
    <t>UID D.I. Yogyakarta</t>
  </si>
  <si>
    <t>UID Jawa Barat</t>
  </si>
  <si>
    <t>UID Banten</t>
  </si>
  <si>
    <t>UID Jakarta Raya</t>
  </si>
  <si>
    <t>Kapasitas Terpasang</t>
  </si>
  <si>
    <t>Jumlah Unit Pembangkit</t>
  </si>
  <si>
    <t>Energi Yang di Produksi</t>
  </si>
  <si>
    <t>Jumlah Pelanggan Rumah tangga</t>
  </si>
  <si>
    <t>Penerangan Jalan Umum</t>
  </si>
  <si>
    <t>Jumlah Pelanggan Industri</t>
  </si>
  <si>
    <t>Jumlah Pelanggan Bisnis</t>
  </si>
  <si>
    <t>Jumlah Pelanggan Sosial</t>
  </si>
  <si>
    <t>Jumlah Pelanggan Gdg. Kantor Pemerintah</t>
  </si>
  <si>
    <t>Jumlah Pelanggan Penerangan Jalan Umum</t>
  </si>
  <si>
    <t>Jumlah Pelanggan Lainnya (T,C,L)</t>
  </si>
  <si>
    <t>Jumlah Pelanggan Total</t>
  </si>
  <si>
    <t>Daya Tersambung Rumah Tangga</t>
  </si>
  <si>
    <t>Daya Tersambung Industri</t>
  </si>
  <si>
    <t>Daya Terpasang Bisnis</t>
  </si>
  <si>
    <t>Daya Terpasang Sosial</t>
  </si>
  <si>
    <t>Daya Terpasang Gdg. Kantor Pemerintah</t>
  </si>
  <si>
    <t>Daya Terpasang Lainnya (T,C,L)</t>
  </si>
  <si>
    <t>Daya Terpasang Total</t>
  </si>
  <si>
    <t>Energi Terjual Rumah Tangga</t>
  </si>
  <si>
    <t>Energi Terjual Industri</t>
  </si>
  <si>
    <t>Energi Terjual Bisnis</t>
  </si>
  <si>
    <t>Energi Terjual Sosial</t>
  </si>
  <si>
    <t>Energi Terjual Gdg. Kantor Pemerintah</t>
  </si>
  <si>
    <t>Energi Terjual Penerangan Jalan Umum</t>
  </si>
  <si>
    <t>Energi Terjual Lainnya (T,C,L)</t>
  </si>
  <si>
    <t xml:space="preserve">Energi Terjual Total </t>
  </si>
  <si>
    <t>Pendapatan dari Rumah Tangga</t>
  </si>
  <si>
    <t>Pendapatan dari Industri</t>
  </si>
  <si>
    <t>Pendapatan dari Bisnis</t>
  </si>
  <si>
    <t>Pendapatan dari Sosial</t>
  </si>
  <si>
    <t>Pendapatan dari Gdg. Kantor Pemerintah</t>
  </si>
  <si>
    <t>Pendapatan dari Penerangan Jalan Umum</t>
  </si>
  <si>
    <t>Pendapatan dari Lainnya (T,C,L)</t>
  </si>
  <si>
    <t>Pendapatan Total</t>
  </si>
  <si>
    <t>Tarif rata-rata Listrik Rumah Tangga</t>
  </si>
  <si>
    <t>Tarif rata-rata Listrik Industri</t>
  </si>
  <si>
    <t>Tarif rata-rata Listrik Bisnis</t>
  </si>
  <si>
    <t>Tarif rata-rata Listrik Sosial</t>
  </si>
  <si>
    <t>Tarif rata-rata Listrik Gdg. Kantor Pemerintah</t>
  </si>
  <si>
    <t>Tarif rata-rata Listrik Penerangan Jalan Umum</t>
  </si>
  <si>
    <t>Tarif rata-rata Listrik Lainnya (T,C,L)</t>
  </si>
  <si>
    <t>Tarif rata-rata Listrik</t>
  </si>
  <si>
    <t>Jumlah Gangguan (Kali)</t>
  </si>
  <si>
    <t>Panjang Jaringan JTM (kms)</t>
  </si>
  <si>
    <t>Jumlah Gangguan (Kali/100 kms)</t>
  </si>
  <si>
    <t>Rumah Tangga (x1000)</t>
  </si>
  <si>
    <t>Pelanggan Rumah Tangga</t>
  </si>
  <si>
    <t>Rasio Elektrifikasi (%)</t>
  </si>
  <si>
    <t>HSD</t>
  </si>
  <si>
    <t>IDO</t>
  </si>
  <si>
    <t>MFO</t>
  </si>
  <si>
    <t>HFO</t>
  </si>
  <si>
    <t>CPO</t>
  </si>
  <si>
    <t>Biomassa</t>
  </si>
  <si>
    <t>Riau</t>
  </si>
  <si>
    <t>Kepulauan Riau</t>
  </si>
  <si>
    <t>Sumatera Selatan</t>
  </si>
  <si>
    <t>Jambi</t>
  </si>
  <si>
    <t>Bengkulu</t>
  </si>
  <si>
    <t>Kalimantan Selatan</t>
  </si>
  <si>
    <t>Kalimantan Tengah</t>
  </si>
  <si>
    <t>Sulawesi Utara</t>
  </si>
  <si>
    <t>Sulawesi Tengah</t>
  </si>
  <si>
    <t>Gorontalo</t>
  </si>
  <si>
    <t>Sulawesi Selatan</t>
  </si>
  <si>
    <t>Sulawesi Tenggara</t>
  </si>
  <si>
    <t>Sulawesi Barat</t>
  </si>
  <si>
    <t>Maluku</t>
  </si>
  <si>
    <t>Maluku Utara</t>
  </si>
  <si>
    <t>Papua</t>
  </si>
  <si>
    <t>Papua Barat</t>
  </si>
  <si>
    <t>EBT</t>
  </si>
  <si>
    <t>Olein</t>
  </si>
  <si>
    <t>Unit</t>
  </si>
  <si>
    <t>BioDiesel</t>
  </si>
  <si>
    <t>BioHSD</t>
  </si>
  <si>
    <t>BioFame</t>
  </si>
  <si>
    <t>Jml_BBM</t>
  </si>
  <si>
    <t>Batubara</t>
  </si>
  <si>
    <t>GasAlam</t>
  </si>
  <si>
    <t>UID Sulawesi Selatan Tenggara Barat</t>
  </si>
  <si>
    <t>Jawa Tengah</t>
  </si>
  <si>
    <t>DI Yogyakarta</t>
  </si>
  <si>
    <t>Non Ebt</t>
  </si>
  <si>
    <t>Pemakaian Bahan Bakar Non EBT</t>
  </si>
  <si>
    <t>Pemakaian Bahan Bakar EBT</t>
  </si>
  <si>
    <t>Provinsi/Rayon</t>
  </si>
  <si>
    <t>- Riau</t>
  </si>
  <si>
    <t>- Kepulauan Riau</t>
  </si>
  <si>
    <t>- Sumatera Selatan</t>
  </si>
  <si>
    <t>- Jambi</t>
  </si>
  <si>
    <t>- Bengkulu</t>
  </si>
  <si>
    <t>- Kalimantan Selatan</t>
  </si>
  <si>
    <t>- Kalimantan Tengah</t>
  </si>
  <si>
    <t>- Sulawesi Utara</t>
  </si>
  <si>
    <t>- Sulawesi Tengah</t>
  </si>
  <si>
    <t>- Gorontalo</t>
  </si>
  <si>
    <t>- Sulawesi Selatan</t>
  </si>
  <si>
    <t>- Sulawesi Tenggara</t>
  </si>
  <si>
    <t>- Sulawesi Barat</t>
  </si>
  <si>
    <t>- Maluku</t>
  </si>
  <si>
    <t>- Maluku Utara</t>
  </si>
  <si>
    <t>- Papua</t>
  </si>
  <si>
    <t>- Papua Barat</t>
  </si>
  <si>
    <t>- Jawa Tengah</t>
  </si>
  <si>
    <t>- D.I. Yogyakarta</t>
  </si>
  <si>
    <t>Pemakaian Bahan Bakar Total</t>
  </si>
  <si>
    <t>Energi Terjual Total</t>
  </si>
  <si>
    <t>UID/Provinsi</t>
  </si>
  <si>
    <t>Jumlah</t>
  </si>
  <si>
    <t>Sewa</t>
  </si>
  <si>
    <t>IPP</t>
  </si>
  <si>
    <t>D.I. Yogyakarta</t>
  </si>
  <si>
    <t>Milik Sendiri</t>
  </si>
  <si>
    <t>Proporsi Sewa</t>
  </si>
  <si>
    <t>Proporsi IPP</t>
  </si>
  <si>
    <t>Proporsi Milik Sendiri</t>
  </si>
  <si>
    <t>Proporsi ET Rumah Tangga</t>
  </si>
  <si>
    <t>Proporsi ET Industri</t>
  </si>
  <si>
    <t>Proporsi ET Bisnis</t>
  </si>
  <si>
    <t>Proporsi ET Sosial</t>
  </si>
  <si>
    <t>Proporsi ET Pemerintah</t>
  </si>
  <si>
    <t>Proporsi Penerangan Jalan Umum</t>
  </si>
  <si>
    <t>Proporsi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</si>
</sst>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1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2" fontId="2" fillId="3" borderId="0" xfId="0" applyNumberFormat="1" applyFont="1" applyFill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0" borderId="6" xfId="0" applyBorder="1"/>
    <xf numFmtId="0" fontId="0" fillId="0" borderId="2" xfId="0" applyBorder="1"/>
    <xf numFmtId="2" fontId="0" fillId="3" borderId="4" xfId="0" applyNumberFormat="1" applyFill="1" applyBorder="1" applyAlignment="1">
      <alignment vertical="center" wrapText="1"/>
    </xf>
    <xf numFmtId="0" fontId="0" fillId="0" borderId="8" xfId="0" applyBorder="1"/>
    <xf numFmtId="2" fontId="0" fillId="4" borderId="2" xfId="0" applyNumberFormat="1" applyFill="1" applyBorder="1" applyAlignment="1">
      <alignment vertical="center" wrapText="1"/>
    </xf>
    <xf numFmtId="0" fontId="0" fillId="0" borderId="3" xfId="0" applyBorder="1"/>
    <xf numFmtId="2" fontId="0" fillId="3" borderId="7" xfId="0" applyNumberFormat="1" applyFill="1" applyBorder="1" applyAlignment="1">
      <alignment vertical="center" wrapText="1"/>
    </xf>
    <xf numFmtId="0" fontId="0" fillId="0" borderId="4" xfId="0" applyBorder="1"/>
    <xf numFmtId="0" fontId="0" fillId="4" borderId="2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4" borderId="6" xfId="0" applyFill="1" applyBorder="1"/>
    <xf numFmtId="0" fontId="0" fillId="3" borderId="7" xfId="0" applyFill="1" applyBorder="1" applyAlignment="1">
      <alignment vertical="center" wrapText="1"/>
    </xf>
    <xf numFmtId="0" fontId="0" fillId="4" borderId="9" xfId="0" applyFill="1" applyBorder="1" applyAlignment="1">
      <alignment vertical="center"/>
    </xf>
    <xf numFmtId="2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2" fontId="0" fillId="3" borderId="10" xfId="0" applyNumberFormat="1" applyFill="1" applyBorder="1" applyAlignment="1">
      <alignment vertical="center" wrapText="1"/>
    </xf>
    <xf numFmtId="0" fontId="0" fillId="0" borderId="10" xfId="0" applyBorder="1"/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2" fontId="2" fillId="3" borderId="0" xfId="0" applyNumberFormat="1" applyFont="1" applyFill="1" applyAlignment="1">
      <alignment vertical="center"/>
    </xf>
    <xf numFmtId="2" fontId="0" fillId="0" borderId="0" xfId="0" applyNumberFormat="1" applyAlignment="1">
      <alignment vertical="center"/>
    </xf>
    <xf numFmtId="2" fontId="0" fillId="3" borderId="10" xfId="0" applyNumberFormat="1" applyFill="1" applyBorder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FF7B-53F2-4FD8-8462-6C4876D81DB0}">
  <dimension ref="A1:BA36"/>
  <sheetViews>
    <sheetView topLeftCell="AT1" workbookViewId="0">
      <selection activeCell="BI2" sqref="BI2"/>
    </sheetView>
  </sheetViews>
  <sheetFormatPr defaultRowHeight="15" x14ac:dyDescent="0.25"/>
  <cols>
    <col min="2" max="2" width="24.7109375" customWidth="1"/>
    <col min="3" max="3" width="13.42578125" customWidth="1"/>
    <col min="4" max="4" width="11.7109375" customWidth="1"/>
    <col min="6" max="6" width="15.140625" customWidth="1"/>
    <col min="7" max="7" width="12.42578125" customWidth="1"/>
    <col min="8" max="8" width="10.7109375" customWidth="1"/>
    <col min="9" max="9" width="11.85546875" customWidth="1"/>
    <col min="10" max="10" width="16.7109375" customWidth="1"/>
    <col min="11" max="11" width="15.7109375" customWidth="1"/>
    <col min="12" max="12" width="12" customWidth="1"/>
    <col min="13" max="13" width="11.85546875" customWidth="1"/>
    <col min="14" max="14" width="12.42578125" customWidth="1"/>
    <col min="15" max="15" width="12.7109375" customWidth="1"/>
    <col min="16" max="16" width="12.28515625" customWidth="1"/>
    <col min="17" max="17" width="11" customWidth="1"/>
    <col min="18" max="18" width="12.42578125" customWidth="1"/>
    <col min="19" max="19" width="12.5703125" customWidth="1"/>
    <col min="20" max="20" width="11.42578125" customWidth="1"/>
    <col min="21" max="21" width="12.140625" customWidth="1"/>
    <col min="30" max="30" width="11.7109375" customWidth="1"/>
    <col min="31" max="31" width="12.85546875" customWidth="1"/>
    <col min="32" max="32" width="12" customWidth="1"/>
    <col min="33" max="33" width="12.5703125" customWidth="1"/>
    <col min="34" max="34" width="12.140625" customWidth="1"/>
    <col min="35" max="35" width="15.7109375" customWidth="1"/>
    <col min="36" max="36" width="12.42578125" customWidth="1"/>
    <col min="37" max="37" width="12.140625" customWidth="1"/>
    <col min="38" max="38" width="15.7109375" customWidth="1"/>
    <col min="39" max="39" width="13" customWidth="1"/>
    <col min="40" max="40" width="12.28515625" customWidth="1"/>
    <col min="41" max="41" width="16.7109375" customWidth="1"/>
    <col min="42" max="42" width="19.140625" customWidth="1"/>
    <col min="43" max="43" width="21.28515625" customWidth="1"/>
    <col min="44" max="44" width="18.140625" customWidth="1"/>
    <col min="45" max="45" width="14.140625" customWidth="1"/>
    <col min="46" max="46" width="11.5703125" customWidth="1"/>
    <col min="47" max="47" width="10.85546875" customWidth="1"/>
    <col min="48" max="48" width="13.7109375" customWidth="1"/>
    <col min="49" max="49" width="15.28515625" customWidth="1"/>
    <col min="50" max="50" width="15.5703125" customWidth="1"/>
    <col min="51" max="51" width="12.42578125" customWidth="1"/>
    <col min="52" max="52" width="12.85546875" customWidth="1"/>
  </cols>
  <sheetData>
    <row r="1" spans="1:53" x14ac:dyDescent="0.25">
      <c r="B1" s="27"/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</row>
    <row r="2" spans="1:53" s="3" customFormat="1" ht="63" customHeight="1" x14ac:dyDescent="0.25">
      <c r="A2" t="s">
        <v>0</v>
      </c>
      <c r="B2" s="28" t="s">
        <v>1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51</v>
      </c>
      <c r="S2" s="5" t="s">
        <v>39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6" t="s">
        <v>67</v>
      </c>
      <c r="AJ2" s="6" t="s">
        <v>68</v>
      </c>
      <c r="AK2" s="6" t="s">
        <v>69</v>
      </c>
      <c r="AL2" s="5" t="s">
        <v>70</v>
      </c>
      <c r="AM2" s="5" t="s">
        <v>71</v>
      </c>
      <c r="AN2" s="5" t="s">
        <v>72</v>
      </c>
      <c r="AO2" s="5" t="s">
        <v>73</v>
      </c>
      <c r="AP2" s="5" t="s">
        <v>74</v>
      </c>
      <c r="AQ2" s="5" t="s">
        <v>75</v>
      </c>
      <c r="AR2" s="5" t="s">
        <v>76</v>
      </c>
      <c r="AS2" s="5" t="s">
        <v>77</v>
      </c>
      <c r="AT2" s="5" t="s">
        <v>78</v>
      </c>
      <c r="AU2" s="5" t="s">
        <v>79</v>
      </c>
      <c r="AV2" s="5" t="s">
        <v>80</v>
      </c>
      <c r="AW2" s="5" t="s">
        <v>82</v>
      </c>
      <c r="AX2" s="5" t="s">
        <v>83</v>
      </c>
      <c r="AY2" s="5" t="s">
        <v>120</v>
      </c>
      <c r="AZ2" s="5" t="s">
        <v>121</v>
      </c>
      <c r="BA2" s="3" t="s">
        <v>142</v>
      </c>
    </row>
    <row r="3" spans="1:53" x14ac:dyDescent="0.25">
      <c r="A3">
        <v>1</v>
      </c>
      <c r="B3" s="7" t="s">
        <v>2</v>
      </c>
      <c r="C3" s="18">
        <v>179.49</v>
      </c>
      <c r="D3" s="10">
        <v>206</v>
      </c>
      <c r="E3" s="11">
        <v>270.86</v>
      </c>
      <c r="F3">
        <v>1534855</v>
      </c>
      <c r="G3">
        <v>4626</v>
      </c>
      <c r="H3">
        <v>177598</v>
      </c>
      <c r="I3">
        <v>58081</v>
      </c>
      <c r="J3">
        <v>13176</v>
      </c>
      <c r="K3">
        <v>3016</v>
      </c>
      <c r="L3">
        <v>316</v>
      </c>
      <c r="M3">
        <v>1791668</v>
      </c>
      <c r="N3">
        <v>1312.63</v>
      </c>
      <c r="O3">
        <v>195.74</v>
      </c>
      <c r="P3">
        <v>479.26</v>
      </c>
      <c r="Q3">
        <v>195.99</v>
      </c>
      <c r="R3">
        <v>99.14</v>
      </c>
      <c r="S3">
        <v>38.61</v>
      </c>
      <c r="T3">
        <v>2.06</v>
      </c>
      <c r="U3">
        <v>2323.4299999999998</v>
      </c>
      <c r="V3">
        <v>2140.98</v>
      </c>
      <c r="W3">
        <v>343.37</v>
      </c>
      <c r="X3">
        <v>662</v>
      </c>
      <c r="Y3">
        <v>277.82</v>
      </c>
      <c r="Z3">
        <v>119.48</v>
      </c>
      <c r="AA3">
        <v>139.24</v>
      </c>
      <c r="AB3">
        <v>13.25</v>
      </c>
      <c r="AC3">
        <v>3696.14</v>
      </c>
      <c r="AD3">
        <v>1984631.2</v>
      </c>
      <c r="AE3">
        <v>387899.89</v>
      </c>
      <c r="AF3">
        <v>757530.04</v>
      </c>
      <c r="AG3">
        <v>219533.99</v>
      </c>
      <c r="AH3">
        <v>189613.44</v>
      </c>
      <c r="AI3">
        <v>236644.92</v>
      </c>
      <c r="AJ3">
        <v>28804.03</v>
      </c>
      <c r="AK3">
        <v>3804657.51</v>
      </c>
      <c r="AL3">
        <v>926.97</v>
      </c>
      <c r="AM3">
        <v>1129.68</v>
      </c>
      <c r="AN3">
        <v>1144.31</v>
      </c>
      <c r="AO3">
        <v>790.2</v>
      </c>
      <c r="AP3">
        <v>1586.99</v>
      </c>
      <c r="AQ3">
        <v>1699.55</v>
      </c>
      <c r="AR3">
        <v>2173.89</v>
      </c>
      <c r="AS3">
        <v>1029.3599999999999</v>
      </c>
      <c r="AT3">
        <v>4985</v>
      </c>
      <c r="AU3">
        <v>14607</v>
      </c>
      <c r="AV3">
        <v>34.130000000000003</v>
      </c>
      <c r="AW3" s="23">
        <v>1534855</v>
      </c>
      <c r="AX3" s="23">
        <v>99.98</v>
      </c>
      <c r="AY3">
        <v>0</v>
      </c>
      <c r="AZ3">
        <v>45632.639999999999</v>
      </c>
      <c r="BA3">
        <f>SUM(AY3:AZ3)</f>
        <v>45632.639999999999</v>
      </c>
    </row>
    <row r="4" spans="1:53" x14ac:dyDescent="0.25">
      <c r="A4">
        <v>2</v>
      </c>
      <c r="B4" s="23" t="s">
        <v>3</v>
      </c>
      <c r="C4" s="8">
        <v>210.06</v>
      </c>
      <c r="D4" s="9">
        <v>56</v>
      </c>
      <c r="E4" s="13">
        <v>1280.6500000000001</v>
      </c>
      <c r="F4" s="12">
        <v>4342092</v>
      </c>
      <c r="G4">
        <v>5356</v>
      </c>
      <c r="H4">
        <v>163244</v>
      </c>
      <c r="I4">
        <v>85550</v>
      </c>
      <c r="J4">
        <v>11680</v>
      </c>
      <c r="K4">
        <v>18357</v>
      </c>
      <c r="L4">
        <v>7274</v>
      </c>
      <c r="M4">
        <v>4633553</v>
      </c>
      <c r="N4">
        <v>4421.96</v>
      </c>
      <c r="O4">
        <v>1485.04</v>
      </c>
      <c r="P4">
        <v>1271.42</v>
      </c>
      <c r="Q4">
        <v>388.73</v>
      </c>
      <c r="R4">
        <v>125.24</v>
      </c>
      <c r="S4">
        <v>102.95</v>
      </c>
      <c r="T4">
        <v>72.73</v>
      </c>
      <c r="U4">
        <v>7868.06</v>
      </c>
      <c r="V4">
        <v>6555.63</v>
      </c>
      <c r="W4">
        <v>3282.86</v>
      </c>
      <c r="X4">
        <v>1982.48</v>
      </c>
      <c r="Y4">
        <v>624.28</v>
      </c>
      <c r="Z4">
        <v>167.44</v>
      </c>
      <c r="AA4">
        <v>415.5</v>
      </c>
      <c r="AB4">
        <v>206.06</v>
      </c>
      <c r="AC4">
        <v>13234.26</v>
      </c>
      <c r="AD4">
        <v>7364306.7800000003</v>
      </c>
      <c r="AE4">
        <v>3642605.15</v>
      </c>
      <c r="AF4">
        <v>2490836.37</v>
      </c>
      <c r="AG4">
        <v>507080.88</v>
      </c>
      <c r="AH4">
        <v>266181.77</v>
      </c>
      <c r="AI4">
        <v>706159.81</v>
      </c>
      <c r="AJ4">
        <v>331402.32</v>
      </c>
      <c r="AK4">
        <v>15308573.08</v>
      </c>
      <c r="AL4">
        <v>1123.3599999999999</v>
      </c>
      <c r="AM4">
        <v>1109.58</v>
      </c>
      <c r="AN4">
        <v>1256.42</v>
      </c>
      <c r="AO4">
        <v>812.27</v>
      </c>
      <c r="AP4">
        <v>1589.71</v>
      </c>
      <c r="AQ4">
        <v>1699.54</v>
      </c>
      <c r="AR4">
        <v>1608.28</v>
      </c>
      <c r="AS4">
        <v>1156.74</v>
      </c>
      <c r="AT4">
        <v>1257</v>
      </c>
      <c r="AU4">
        <v>30425.95</v>
      </c>
      <c r="AV4">
        <v>4.13</v>
      </c>
      <c r="AW4" s="23">
        <v>4332947</v>
      </c>
      <c r="AX4" s="23">
        <v>99.81</v>
      </c>
      <c r="AY4">
        <v>0</v>
      </c>
      <c r="AZ4">
        <v>2209.96</v>
      </c>
      <c r="BA4">
        <f t="shared" ref="BA4:BA36" si="0">SUM(AY4:AZ4)</f>
        <v>2209.96</v>
      </c>
    </row>
    <row r="5" spans="1:53" x14ac:dyDescent="0.25">
      <c r="A5">
        <v>3</v>
      </c>
      <c r="B5" s="26" t="s">
        <v>4</v>
      </c>
      <c r="C5" s="19">
        <v>91.63</v>
      </c>
      <c r="D5" s="14">
        <v>102</v>
      </c>
      <c r="E5" s="15">
        <v>376.26</v>
      </c>
      <c r="F5">
        <v>1495348</v>
      </c>
      <c r="G5">
        <v>850</v>
      </c>
      <c r="H5">
        <v>208947</v>
      </c>
      <c r="I5">
        <v>43057</v>
      </c>
      <c r="J5">
        <v>7036</v>
      </c>
      <c r="K5">
        <v>5020</v>
      </c>
      <c r="L5">
        <v>1653</v>
      </c>
      <c r="M5">
        <v>1761911</v>
      </c>
      <c r="N5">
        <v>1441.48</v>
      </c>
      <c r="O5">
        <v>300.07</v>
      </c>
      <c r="P5">
        <v>567.70000000000005</v>
      </c>
      <c r="Q5">
        <v>159.22</v>
      </c>
      <c r="R5">
        <v>69.48</v>
      </c>
      <c r="S5">
        <v>25.3</v>
      </c>
      <c r="T5">
        <v>5.86</v>
      </c>
      <c r="U5">
        <v>2569.11</v>
      </c>
      <c r="V5">
        <v>1902.89</v>
      </c>
      <c r="W5">
        <v>827.34</v>
      </c>
      <c r="X5">
        <v>766.9</v>
      </c>
      <c r="Y5">
        <v>237.01</v>
      </c>
      <c r="Z5">
        <v>87.86</v>
      </c>
      <c r="AA5">
        <v>98.64</v>
      </c>
      <c r="AB5">
        <v>35.25</v>
      </c>
      <c r="AC5">
        <v>3955.88</v>
      </c>
      <c r="AD5">
        <v>2096468.95</v>
      </c>
      <c r="AE5">
        <v>863857.72</v>
      </c>
      <c r="AF5">
        <v>880121.75</v>
      </c>
      <c r="AG5">
        <v>190199.72</v>
      </c>
      <c r="AH5">
        <v>139657.47</v>
      </c>
      <c r="AI5">
        <v>169151.73</v>
      </c>
      <c r="AJ5">
        <v>88114.98</v>
      </c>
      <c r="AK5">
        <v>4427572.32</v>
      </c>
      <c r="AL5">
        <v>1101.73</v>
      </c>
      <c r="AM5">
        <v>1044.1400000000001</v>
      </c>
      <c r="AN5">
        <v>1147.6400000000001</v>
      </c>
      <c r="AO5">
        <v>802.5</v>
      </c>
      <c r="AP5">
        <v>1589.55</v>
      </c>
      <c r="AQ5">
        <v>1714.84</v>
      </c>
      <c r="AR5">
        <v>2499.7199999999998</v>
      </c>
      <c r="AS5">
        <v>1119.24</v>
      </c>
      <c r="AT5">
        <v>1286</v>
      </c>
      <c r="AU5">
        <v>11518.76</v>
      </c>
      <c r="AV5">
        <v>11.16</v>
      </c>
      <c r="AW5" s="23">
        <v>1493000</v>
      </c>
      <c r="AX5" s="23">
        <v>98.88</v>
      </c>
      <c r="AY5">
        <v>0</v>
      </c>
      <c r="AZ5">
        <v>8549.08</v>
      </c>
      <c r="BA5">
        <f t="shared" si="0"/>
        <v>8549.08</v>
      </c>
    </row>
    <row r="6" spans="1:53" x14ac:dyDescent="0.25">
      <c r="A6">
        <v>4</v>
      </c>
      <c r="B6" t="s">
        <v>5</v>
      </c>
      <c r="C6">
        <v>486.37</v>
      </c>
      <c r="D6">
        <v>274</v>
      </c>
      <c r="E6" s="10">
        <v>2890.46</v>
      </c>
      <c r="F6" s="16">
        <v>2023751</v>
      </c>
      <c r="G6">
        <v>938</v>
      </c>
      <c r="H6">
        <v>194673</v>
      </c>
      <c r="I6">
        <v>48534</v>
      </c>
      <c r="J6">
        <v>7388</v>
      </c>
      <c r="K6">
        <v>5782</v>
      </c>
      <c r="L6">
        <v>2811</v>
      </c>
      <c r="M6">
        <v>2283877</v>
      </c>
      <c r="N6">
        <v>2451.42</v>
      </c>
      <c r="O6">
        <v>763.84</v>
      </c>
      <c r="P6">
        <v>894.27</v>
      </c>
      <c r="Q6">
        <v>242.85</v>
      </c>
      <c r="R6">
        <v>97</v>
      </c>
      <c r="S6">
        <v>42.33</v>
      </c>
      <c r="T6">
        <v>17.440000000000001</v>
      </c>
      <c r="U6">
        <v>4509.1499999999996</v>
      </c>
      <c r="V6">
        <v>3375.08</v>
      </c>
      <c r="W6">
        <v>3399.6</v>
      </c>
      <c r="X6">
        <v>1423.62</v>
      </c>
      <c r="Y6">
        <v>335.5</v>
      </c>
      <c r="Z6">
        <v>125.02</v>
      </c>
      <c r="AA6">
        <v>114.83</v>
      </c>
      <c r="AB6">
        <v>42.02</v>
      </c>
      <c r="AC6">
        <v>8815.68</v>
      </c>
      <c r="AD6">
        <v>4367150.0599999996</v>
      </c>
      <c r="AE6">
        <v>1853316.04</v>
      </c>
      <c r="AF6">
        <v>1733505.65</v>
      </c>
      <c r="AG6">
        <v>285786.21000000002</v>
      </c>
      <c r="AH6">
        <v>199594.06</v>
      </c>
      <c r="AI6">
        <v>196407.03</v>
      </c>
      <c r="AJ6">
        <v>72805.11</v>
      </c>
      <c r="AK6">
        <v>8708564.1699999999</v>
      </c>
      <c r="AL6">
        <v>1293.94</v>
      </c>
      <c r="AM6">
        <v>545.16</v>
      </c>
      <c r="AN6">
        <v>1217.67</v>
      </c>
      <c r="AO6">
        <v>851.82</v>
      </c>
      <c r="AP6">
        <v>1596.5</v>
      </c>
      <c r="AQ6">
        <v>1710.42</v>
      </c>
      <c r="AR6">
        <v>1732.63</v>
      </c>
      <c r="AS6">
        <v>987.85</v>
      </c>
      <c r="AT6">
        <v>107</v>
      </c>
      <c r="AU6">
        <v>16019.05</v>
      </c>
      <c r="AV6">
        <v>0.67</v>
      </c>
      <c r="AW6" s="23">
        <v>2032898</v>
      </c>
      <c r="AX6" s="23">
        <v>95.19</v>
      </c>
      <c r="AY6">
        <v>1650.95</v>
      </c>
      <c r="AZ6">
        <v>86926.95</v>
      </c>
      <c r="BA6">
        <f t="shared" si="0"/>
        <v>88577.9</v>
      </c>
    </row>
    <row r="7" spans="1:53" x14ac:dyDescent="0.25">
      <c r="A7">
        <v>5</v>
      </c>
      <c r="B7" t="s">
        <v>6</v>
      </c>
      <c r="C7">
        <v>166.34</v>
      </c>
      <c r="D7">
        <v>332</v>
      </c>
      <c r="E7">
        <v>396.02</v>
      </c>
      <c r="F7">
        <v>306128</v>
      </c>
      <c r="G7">
        <v>167</v>
      </c>
      <c r="H7">
        <v>31851</v>
      </c>
      <c r="I7">
        <v>7063</v>
      </c>
      <c r="J7">
        <v>2703</v>
      </c>
      <c r="K7">
        <v>1934</v>
      </c>
      <c r="L7">
        <v>141</v>
      </c>
      <c r="M7">
        <v>349987</v>
      </c>
      <c r="N7">
        <v>437.7</v>
      </c>
      <c r="O7">
        <v>23.86</v>
      </c>
      <c r="P7">
        <v>186.48</v>
      </c>
      <c r="Q7">
        <v>41.7</v>
      </c>
      <c r="R7">
        <v>41.43</v>
      </c>
      <c r="S7">
        <v>10.38</v>
      </c>
      <c r="T7">
        <v>19.8</v>
      </c>
      <c r="U7">
        <v>761.35</v>
      </c>
      <c r="V7">
        <v>562.29</v>
      </c>
      <c r="W7">
        <v>42.38</v>
      </c>
      <c r="X7">
        <v>333.88</v>
      </c>
      <c r="Y7">
        <v>51.37</v>
      </c>
      <c r="Z7">
        <v>46.67</v>
      </c>
      <c r="AA7">
        <v>23.75</v>
      </c>
      <c r="AB7">
        <v>15.74</v>
      </c>
      <c r="AC7">
        <v>1076.07</v>
      </c>
      <c r="AD7">
        <v>784600.68</v>
      </c>
      <c r="AE7">
        <v>46881.08</v>
      </c>
      <c r="AF7">
        <v>411575.93</v>
      </c>
      <c r="AG7">
        <v>43308.53</v>
      </c>
      <c r="AH7">
        <v>75014.210000000006</v>
      </c>
      <c r="AI7">
        <v>40361.64</v>
      </c>
      <c r="AJ7">
        <v>19687.990000000002</v>
      </c>
      <c r="AK7">
        <v>1421430.05</v>
      </c>
      <c r="AL7">
        <v>1395.37</v>
      </c>
      <c r="AM7">
        <v>1106.21</v>
      </c>
      <c r="AN7">
        <v>1232.71</v>
      </c>
      <c r="AO7">
        <v>843.07</v>
      </c>
      <c r="AP7">
        <v>1607.33</v>
      </c>
      <c r="AQ7">
        <v>1699.44</v>
      </c>
      <c r="AR7">
        <v>1250.83</v>
      </c>
      <c r="AS7">
        <v>1320.95</v>
      </c>
      <c r="AT7">
        <v>2</v>
      </c>
      <c r="AU7">
        <v>2573.75</v>
      </c>
      <c r="AV7">
        <v>0.08</v>
      </c>
      <c r="AW7" s="23">
        <v>627564</v>
      </c>
      <c r="AX7" s="23">
        <v>99.49</v>
      </c>
      <c r="AY7">
        <v>0</v>
      </c>
      <c r="AZ7">
        <v>115480.15</v>
      </c>
      <c r="BA7">
        <f t="shared" si="0"/>
        <v>115480.15</v>
      </c>
    </row>
    <row r="8" spans="1:53" x14ac:dyDescent="0.25">
      <c r="A8">
        <v>6</v>
      </c>
      <c r="B8" t="s">
        <v>7</v>
      </c>
      <c r="C8">
        <v>127.42</v>
      </c>
      <c r="D8">
        <v>60</v>
      </c>
      <c r="E8">
        <v>571.72</v>
      </c>
      <c r="F8">
        <v>2468590</v>
      </c>
      <c r="G8">
        <v>2984</v>
      </c>
      <c r="H8">
        <v>68995</v>
      </c>
      <c r="I8">
        <v>47319</v>
      </c>
      <c r="J8">
        <v>7874</v>
      </c>
      <c r="K8">
        <v>8696</v>
      </c>
      <c r="L8">
        <v>636</v>
      </c>
      <c r="M8">
        <v>2605094</v>
      </c>
      <c r="N8">
        <v>2541.6999999999998</v>
      </c>
      <c r="O8">
        <v>504.52</v>
      </c>
      <c r="P8">
        <v>605.21</v>
      </c>
      <c r="Q8">
        <v>192.81</v>
      </c>
      <c r="R8">
        <v>95.13</v>
      </c>
      <c r="S8">
        <v>41.6</v>
      </c>
      <c r="T8">
        <v>51.53</v>
      </c>
      <c r="U8">
        <v>4032.51</v>
      </c>
      <c r="V8">
        <v>3706.75</v>
      </c>
      <c r="W8">
        <v>1102.78</v>
      </c>
      <c r="X8">
        <v>994.34</v>
      </c>
      <c r="Y8">
        <v>281.44</v>
      </c>
      <c r="Z8">
        <v>128.06</v>
      </c>
      <c r="AA8">
        <v>140.55000000000001</v>
      </c>
      <c r="AB8">
        <v>159.65</v>
      </c>
      <c r="AC8">
        <v>6513.57</v>
      </c>
      <c r="AD8">
        <v>4267950.54</v>
      </c>
      <c r="AE8">
        <v>1209319.08</v>
      </c>
      <c r="AF8">
        <v>1279942.75</v>
      </c>
      <c r="AG8">
        <v>229632.18</v>
      </c>
      <c r="AH8">
        <v>202755.02</v>
      </c>
      <c r="AI8">
        <v>242217.36</v>
      </c>
      <c r="AJ8">
        <v>229381.97</v>
      </c>
      <c r="AK8">
        <v>7661198.9199999999</v>
      </c>
      <c r="AL8">
        <v>1151.4000000000001</v>
      </c>
      <c r="AM8">
        <v>1096.6099999999999</v>
      </c>
      <c r="AN8">
        <v>1287.23</v>
      </c>
      <c r="AO8">
        <v>815.92</v>
      </c>
      <c r="AP8">
        <v>1583.28</v>
      </c>
      <c r="AQ8">
        <v>1723.35</v>
      </c>
      <c r="AR8">
        <v>1436.78</v>
      </c>
      <c r="AS8">
        <v>1176.19</v>
      </c>
      <c r="AT8">
        <v>1322</v>
      </c>
      <c r="AU8">
        <v>16177.51</v>
      </c>
      <c r="AV8">
        <v>8.17</v>
      </c>
      <c r="AW8" s="23">
        <v>2480300</v>
      </c>
      <c r="AX8" s="23">
        <v>98.1</v>
      </c>
      <c r="AY8">
        <v>0</v>
      </c>
      <c r="AZ8">
        <v>0</v>
      </c>
      <c r="BA8">
        <f t="shared" si="0"/>
        <v>0</v>
      </c>
    </row>
    <row r="9" spans="1:53" x14ac:dyDescent="0.25">
      <c r="A9">
        <v>7</v>
      </c>
      <c r="B9" t="s">
        <v>8</v>
      </c>
      <c r="C9">
        <v>38.369999999999997</v>
      </c>
      <c r="D9">
        <v>34</v>
      </c>
      <c r="E9">
        <v>117.63</v>
      </c>
      <c r="F9">
        <v>1109453</v>
      </c>
      <c r="G9">
        <v>913</v>
      </c>
      <c r="H9">
        <v>60558</v>
      </c>
      <c r="I9">
        <v>27125</v>
      </c>
      <c r="J9">
        <v>4968</v>
      </c>
      <c r="K9">
        <v>5480</v>
      </c>
      <c r="L9">
        <v>115</v>
      </c>
      <c r="M9">
        <v>1208612</v>
      </c>
      <c r="N9">
        <v>1292.8599999999999</v>
      </c>
      <c r="O9">
        <v>130.94999999999999</v>
      </c>
      <c r="P9">
        <v>304.02999999999997</v>
      </c>
      <c r="Q9">
        <v>95.79</v>
      </c>
      <c r="R9">
        <v>43.01</v>
      </c>
      <c r="S9">
        <v>20.63</v>
      </c>
      <c r="T9">
        <v>1.88</v>
      </c>
      <c r="U9">
        <v>1889.14</v>
      </c>
      <c r="V9">
        <v>1599.14</v>
      </c>
      <c r="W9">
        <v>197.72</v>
      </c>
      <c r="X9">
        <v>481.4</v>
      </c>
      <c r="Y9">
        <v>122.03</v>
      </c>
      <c r="Z9">
        <v>56.64</v>
      </c>
      <c r="AA9">
        <v>45.36</v>
      </c>
      <c r="AB9">
        <v>20.149999999999999</v>
      </c>
      <c r="AC9">
        <v>2522.44</v>
      </c>
      <c r="AD9">
        <v>2033131.8</v>
      </c>
      <c r="AE9">
        <v>219317.19</v>
      </c>
      <c r="AF9">
        <v>606266.04</v>
      </c>
      <c r="AG9">
        <v>93668.45</v>
      </c>
      <c r="AH9">
        <v>89590.25</v>
      </c>
      <c r="AI9">
        <v>77891.44</v>
      </c>
      <c r="AJ9">
        <v>27217.02</v>
      </c>
      <c r="AK9">
        <v>3147082.18</v>
      </c>
      <c r="AL9">
        <v>1271.3900000000001</v>
      </c>
      <c r="AM9">
        <v>1109.23</v>
      </c>
      <c r="AN9">
        <v>1259.3800000000001</v>
      </c>
      <c r="AO9">
        <v>767.59</v>
      </c>
      <c r="AP9">
        <v>1581.75</v>
      </c>
      <c r="AQ9">
        <v>1717.18</v>
      </c>
      <c r="AR9">
        <v>1350.72</v>
      </c>
      <c r="AS9">
        <v>1247.6300000000001</v>
      </c>
      <c r="AT9">
        <v>576</v>
      </c>
      <c r="AU9">
        <v>9786.82</v>
      </c>
      <c r="AV9">
        <v>5.89</v>
      </c>
      <c r="AW9" s="23">
        <v>1097570</v>
      </c>
      <c r="AX9" s="23">
        <v>95.83</v>
      </c>
      <c r="AY9">
        <v>472.74</v>
      </c>
      <c r="AZ9">
        <v>0</v>
      </c>
      <c r="BA9">
        <f t="shared" si="0"/>
        <v>472.74</v>
      </c>
    </row>
    <row r="10" spans="1:53" x14ac:dyDescent="0.25">
      <c r="A10">
        <v>8</v>
      </c>
      <c r="B10" t="s">
        <v>9</v>
      </c>
      <c r="C10">
        <v>65.08</v>
      </c>
      <c r="D10">
        <v>47</v>
      </c>
      <c r="E10">
        <v>244</v>
      </c>
      <c r="F10">
        <v>643716</v>
      </c>
      <c r="G10">
        <v>198</v>
      </c>
      <c r="H10">
        <v>22760</v>
      </c>
      <c r="I10">
        <v>13158</v>
      </c>
      <c r="J10">
        <v>3404</v>
      </c>
      <c r="K10">
        <v>1198</v>
      </c>
      <c r="L10">
        <v>123</v>
      </c>
      <c r="M10">
        <v>684557</v>
      </c>
      <c r="N10">
        <v>608.1</v>
      </c>
      <c r="O10">
        <v>59.54</v>
      </c>
      <c r="P10">
        <v>113.15</v>
      </c>
      <c r="Q10">
        <v>39.96</v>
      </c>
      <c r="R10">
        <v>26.76</v>
      </c>
      <c r="S10">
        <v>5.79</v>
      </c>
      <c r="T10">
        <v>0.69</v>
      </c>
      <c r="U10">
        <v>853.99</v>
      </c>
      <c r="V10">
        <v>856.12</v>
      </c>
      <c r="W10">
        <v>85.38</v>
      </c>
      <c r="X10">
        <v>186.88</v>
      </c>
      <c r="Y10">
        <v>55.39</v>
      </c>
      <c r="Z10">
        <v>34.85</v>
      </c>
      <c r="AA10">
        <v>7.89</v>
      </c>
      <c r="AB10">
        <v>3.6</v>
      </c>
      <c r="AC10">
        <v>1230.1099999999999</v>
      </c>
      <c r="AD10">
        <v>930935.06</v>
      </c>
      <c r="AE10">
        <v>97311.31</v>
      </c>
      <c r="AF10">
        <v>234998.25</v>
      </c>
      <c r="AG10">
        <v>42878.34</v>
      </c>
      <c r="AH10">
        <v>55788.9</v>
      </c>
      <c r="AI10">
        <v>13450.87</v>
      </c>
      <c r="AJ10">
        <v>7875.79</v>
      </c>
      <c r="AK10">
        <v>1383238.52</v>
      </c>
      <c r="AL10">
        <v>1087.3900000000001</v>
      </c>
      <c r="AM10">
        <v>1139.74</v>
      </c>
      <c r="AN10">
        <v>1257.48</v>
      </c>
      <c r="AO10">
        <v>774.12</v>
      </c>
      <c r="AP10">
        <v>1600.83</v>
      </c>
      <c r="AQ10">
        <v>1704.8</v>
      </c>
      <c r="AR10">
        <v>2187.7199999999998</v>
      </c>
      <c r="AS10">
        <v>1124.48</v>
      </c>
      <c r="AT10">
        <v>216</v>
      </c>
      <c r="AU10">
        <v>4881.8999999999996</v>
      </c>
      <c r="AV10">
        <v>4.42</v>
      </c>
      <c r="AW10" s="23">
        <v>643716</v>
      </c>
      <c r="AX10" s="23">
        <v>99.06</v>
      </c>
      <c r="AY10">
        <v>0</v>
      </c>
      <c r="AZ10">
        <v>9051.67</v>
      </c>
      <c r="BA10">
        <f t="shared" si="0"/>
        <v>9051.67</v>
      </c>
    </row>
    <row r="11" spans="1:53" x14ac:dyDescent="0.25">
      <c r="A11">
        <v>9</v>
      </c>
      <c r="B11" s="24" t="s">
        <v>10</v>
      </c>
      <c r="C11" s="20">
        <v>370.75</v>
      </c>
      <c r="D11">
        <v>113</v>
      </c>
      <c r="E11">
        <v>1347.42</v>
      </c>
      <c r="F11">
        <v>517173</v>
      </c>
      <c r="G11">
        <v>876</v>
      </c>
      <c r="H11">
        <v>41684</v>
      </c>
      <c r="I11">
        <v>10107</v>
      </c>
      <c r="J11">
        <v>3634</v>
      </c>
      <c r="K11">
        <v>3575</v>
      </c>
      <c r="L11">
        <v>2668</v>
      </c>
      <c r="M11">
        <v>579717</v>
      </c>
      <c r="N11">
        <v>647.63</v>
      </c>
      <c r="O11">
        <v>227.25</v>
      </c>
      <c r="P11">
        <v>220.46</v>
      </c>
      <c r="Q11">
        <v>63.71</v>
      </c>
      <c r="R11">
        <v>36.299999999999997</v>
      </c>
      <c r="S11">
        <v>10.5</v>
      </c>
      <c r="T11">
        <v>7.34</v>
      </c>
      <c r="U11">
        <v>1213.18</v>
      </c>
      <c r="V11">
        <v>858.36</v>
      </c>
      <c r="W11">
        <v>349.91</v>
      </c>
      <c r="X11">
        <v>261.62</v>
      </c>
      <c r="Y11">
        <v>65.83</v>
      </c>
      <c r="Z11">
        <v>39.549999999999997</v>
      </c>
      <c r="AA11">
        <v>10.61</v>
      </c>
      <c r="AB11">
        <v>7.6</v>
      </c>
      <c r="AC11">
        <v>1593.5</v>
      </c>
      <c r="AD11">
        <v>1152159.3500000001</v>
      </c>
      <c r="AE11">
        <v>401115.64</v>
      </c>
      <c r="AF11">
        <v>329179.18</v>
      </c>
      <c r="AG11">
        <v>57420.1</v>
      </c>
      <c r="AH11">
        <v>64164.9</v>
      </c>
      <c r="AI11">
        <v>18035.07</v>
      </c>
      <c r="AJ11">
        <v>13235.02</v>
      </c>
      <c r="AK11">
        <v>2035309.28</v>
      </c>
      <c r="AL11">
        <v>1342.28</v>
      </c>
      <c r="AM11">
        <v>1146.3399999999999</v>
      </c>
      <c r="AN11">
        <v>1258.23</v>
      </c>
      <c r="AO11">
        <v>872.25</v>
      </c>
      <c r="AP11">
        <v>1622.37</v>
      </c>
      <c r="AQ11">
        <v>1699.82</v>
      </c>
      <c r="AR11">
        <v>1741.45</v>
      </c>
      <c r="AS11">
        <v>1277.26</v>
      </c>
      <c r="AT11">
        <v>1366</v>
      </c>
      <c r="AU11">
        <v>6173.74</v>
      </c>
      <c r="AV11">
        <v>22.13</v>
      </c>
      <c r="AW11" s="23">
        <v>517173</v>
      </c>
      <c r="AX11" s="23">
        <v>99.99</v>
      </c>
      <c r="AY11">
        <v>708424.43</v>
      </c>
      <c r="AZ11">
        <v>134381.68</v>
      </c>
      <c r="BA11">
        <f t="shared" si="0"/>
        <v>842806.1100000001</v>
      </c>
    </row>
    <row r="12" spans="1:53" x14ac:dyDescent="0.25">
      <c r="A12">
        <v>10</v>
      </c>
      <c r="B12" s="25" t="s">
        <v>11</v>
      </c>
      <c r="C12" s="21">
        <v>53.28</v>
      </c>
      <c r="D12">
        <v>46</v>
      </c>
      <c r="E12">
        <v>120.48</v>
      </c>
      <c r="F12">
        <v>2516549</v>
      </c>
      <c r="G12">
        <v>10111</v>
      </c>
      <c r="H12">
        <v>132959</v>
      </c>
      <c r="I12">
        <v>72238</v>
      </c>
      <c r="J12">
        <v>5082</v>
      </c>
      <c r="K12">
        <v>3612</v>
      </c>
      <c r="L12">
        <v>9</v>
      </c>
      <c r="M12">
        <v>2740560</v>
      </c>
      <c r="N12">
        <v>2391.29</v>
      </c>
      <c r="O12">
        <v>646.92999999999995</v>
      </c>
      <c r="P12">
        <v>584.99</v>
      </c>
      <c r="Q12">
        <v>201.79</v>
      </c>
      <c r="R12">
        <v>61.51</v>
      </c>
      <c r="S12">
        <v>26.75</v>
      </c>
      <c r="T12">
        <v>0.08</v>
      </c>
      <c r="U12">
        <v>3913.34</v>
      </c>
      <c r="V12">
        <v>3401.6</v>
      </c>
      <c r="W12">
        <v>1152.53</v>
      </c>
      <c r="X12">
        <v>909.57</v>
      </c>
      <c r="Y12">
        <v>302.10000000000002</v>
      </c>
      <c r="Z12">
        <v>78.06</v>
      </c>
      <c r="AA12">
        <v>132.68</v>
      </c>
      <c r="AB12">
        <v>15.31</v>
      </c>
      <c r="AC12">
        <v>5991.85</v>
      </c>
      <c r="AD12">
        <v>3454972</v>
      </c>
      <c r="AE12">
        <v>1297144.81</v>
      </c>
      <c r="AF12">
        <v>1109801.24</v>
      </c>
      <c r="AG12">
        <v>229643</v>
      </c>
      <c r="AH12">
        <v>124351.72</v>
      </c>
      <c r="AI12">
        <v>222222.14</v>
      </c>
      <c r="AJ12">
        <v>35547.620000000003</v>
      </c>
      <c r="AK12">
        <v>6473682.54</v>
      </c>
      <c r="AL12">
        <v>1015.69</v>
      </c>
      <c r="AM12">
        <v>1125.48</v>
      </c>
      <c r="AN12">
        <v>1220.1400000000001</v>
      </c>
      <c r="AO12">
        <v>760.16</v>
      </c>
      <c r="AP12">
        <v>1593.03</v>
      </c>
      <c r="AQ12">
        <v>1674.87</v>
      </c>
      <c r="AR12">
        <v>2321.86</v>
      </c>
      <c r="AS12">
        <v>1080.4100000000001</v>
      </c>
      <c r="AT12">
        <v>1435</v>
      </c>
      <c r="AU12">
        <v>15019</v>
      </c>
      <c r="AV12">
        <v>9.5500000000000007</v>
      </c>
      <c r="AW12" s="23">
        <v>2519068</v>
      </c>
      <c r="AX12" s="23">
        <v>99.79</v>
      </c>
      <c r="AY12">
        <v>0</v>
      </c>
      <c r="AZ12">
        <v>792.09</v>
      </c>
      <c r="BA12">
        <f t="shared" si="0"/>
        <v>792.09</v>
      </c>
    </row>
    <row r="13" spans="1:53" x14ac:dyDescent="0.25">
      <c r="A13">
        <v>11</v>
      </c>
      <c r="B13" s="22" t="s">
        <v>12</v>
      </c>
      <c r="C13" s="17">
        <v>106.51</v>
      </c>
      <c r="D13">
        <v>202</v>
      </c>
      <c r="E13">
        <v>231.6</v>
      </c>
      <c r="F13">
        <v>1483002</v>
      </c>
      <c r="G13">
        <v>777</v>
      </c>
      <c r="H13">
        <v>89789</v>
      </c>
      <c r="I13">
        <v>32729</v>
      </c>
      <c r="J13">
        <v>6076</v>
      </c>
      <c r="K13">
        <v>4765</v>
      </c>
      <c r="L13">
        <v>330</v>
      </c>
      <c r="M13">
        <v>1617468</v>
      </c>
      <c r="N13">
        <v>1580.3</v>
      </c>
      <c r="O13">
        <v>170.99</v>
      </c>
      <c r="P13">
        <v>505.92</v>
      </c>
      <c r="Q13">
        <v>140.43</v>
      </c>
      <c r="R13">
        <v>72.05</v>
      </c>
      <c r="S13">
        <v>22.03</v>
      </c>
      <c r="T13">
        <v>1.56</v>
      </c>
      <c r="U13">
        <v>2493.2800000000002</v>
      </c>
      <c r="V13">
        <v>2202.41</v>
      </c>
      <c r="W13">
        <v>286</v>
      </c>
      <c r="X13">
        <v>748.81</v>
      </c>
      <c r="Y13">
        <v>175.77</v>
      </c>
      <c r="Z13">
        <v>89.67</v>
      </c>
      <c r="AA13">
        <v>46.99</v>
      </c>
      <c r="AB13">
        <v>10.220000000000001</v>
      </c>
      <c r="AC13">
        <v>3559.87</v>
      </c>
      <c r="AD13">
        <v>2520378</v>
      </c>
      <c r="AE13">
        <v>321488.51</v>
      </c>
      <c r="AF13">
        <v>937132.4</v>
      </c>
      <c r="AG13">
        <v>142173.5</v>
      </c>
      <c r="AH13">
        <v>143096.29999999999</v>
      </c>
      <c r="AI13">
        <v>79873.429999999993</v>
      </c>
      <c r="AJ13">
        <v>24411.18</v>
      </c>
      <c r="AK13">
        <v>4168553.3</v>
      </c>
      <c r="AL13">
        <v>1144.3699999999999</v>
      </c>
      <c r="AM13">
        <v>1124.0899999999999</v>
      </c>
      <c r="AN13">
        <v>1251.5</v>
      </c>
      <c r="AO13">
        <v>808.86</v>
      </c>
      <c r="AP13">
        <v>1595.81</v>
      </c>
      <c r="AQ13">
        <v>1699.8</v>
      </c>
      <c r="AR13">
        <v>2388.5700000000002</v>
      </c>
      <c r="AS13">
        <v>1170.98</v>
      </c>
      <c r="AT13">
        <v>3258</v>
      </c>
      <c r="AU13">
        <v>16051.12</v>
      </c>
      <c r="AV13">
        <v>20.3</v>
      </c>
      <c r="AW13" s="23">
        <v>1483201</v>
      </c>
      <c r="AX13" s="23">
        <v>94.3</v>
      </c>
      <c r="AY13">
        <v>0</v>
      </c>
      <c r="AZ13">
        <v>55927.33</v>
      </c>
      <c r="BA13">
        <f t="shared" si="0"/>
        <v>55927.33</v>
      </c>
    </row>
    <row r="14" spans="1:53" x14ac:dyDescent="0.25">
      <c r="A14">
        <v>12</v>
      </c>
      <c r="B14" t="s">
        <v>13</v>
      </c>
      <c r="C14">
        <v>16.38</v>
      </c>
      <c r="D14">
        <v>91</v>
      </c>
      <c r="E14">
        <v>21.37</v>
      </c>
      <c r="F14">
        <v>1391104</v>
      </c>
      <c r="G14">
        <v>963</v>
      </c>
      <c r="H14">
        <v>85716</v>
      </c>
      <c r="I14">
        <v>47040</v>
      </c>
      <c r="J14">
        <v>6778</v>
      </c>
      <c r="K14">
        <v>5987</v>
      </c>
      <c r="L14">
        <v>135</v>
      </c>
      <c r="M14">
        <v>1537723</v>
      </c>
      <c r="N14">
        <v>1306.52</v>
      </c>
      <c r="O14">
        <v>398.49</v>
      </c>
      <c r="P14">
        <v>454.91</v>
      </c>
      <c r="Q14">
        <v>147.81</v>
      </c>
      <c r="R14">
        <v>77.19</v>
      </c>
      <c r="S14">
        <v>30.22</v>
      </c>
      <c r="T14">
        <v>0.73</v>
      </c>
      <c r="U14">
        <v>2415.88</v>
      </c>
      <c r="V14">
        <v>2081.6999999999998</v>
      </c>
      <c r="W14">
        <v>798.45</v>
      </c>
      <c r="X14">
        <v>697.86</v>
      </c>
      <c r="Y14">
        <v>192.25</v>
      </c>
      <c r="Z14">
        <v>100.07</v>
      </c>
      <c r="AA14">
        <v>68.89</v>
      </c>
      <c r="AB14">
        <v>32.94</v>
      </c>
      <c r="AC14">
        <v>3972.16</v>
      </c>
      <c r="AD14">
        <v>2325429.94</v>
      </c>
      <c r="AE14">
        <v>861613.14</v>
      </c>
      <c r="AF14">
        <v>866649.5</v>
      </c>
      <c r="AG14">
        <v>150353.76</v>
      </c>
      <c r="AH14">
        <v>159791.17000000001</v>
      </c>
      <c r="AI14">
        <v>117102.06</v>
      </c>
      <c r="AJ14">
        <v>54985.78</v>
      </c>
      <c r="AK14">
        <v>4535925.34</v>
      </c>
      <c r="AL14">
        <v>1117.08</v>
      </c>
      <c r="AM14">
        <v>1079.1099999999999</v>
      </c>
      <c r="AN14">
        <v>1241.8699999999999</v>
      </c>
      <c r="AO14">
        <v>782.07</v>
      </c>
      <c r="AP14">
        <v>1596.79</v>
      </c>
      <c r="AQ14">
        <v>1699.84</v>
      </c>
      <c r="AR14">
        <v>1669.27</v>
      </c>
      <c r="AS14">
        <v>1141.93</v>
      </c>
      <c r="AT14">
        <v>1214</v>
      </c>
      <c r="AU14">
        <v>9909.82</v>
      </c>
      <c r="AV14">
        <v>12.25</v>
      </c>
      <c r="AW14" s="23">
        <v>1388876</v>
      </c>
      <c r="AX14" s="23">
        <v>99.22</v>
      </c>
      <c r="AY14">
        <v>0</v>
      </c>
      <c r="AZ14">
        <v>3629.6099999999997</v>
      </c>
      <c r="BA14">
        <f t="shared" si="0"/>
        <v>3629.6099999999997</v>
      </c>
    </row>
    <row r="15" spans="1:53" x14ac:dyDescent="0.25">
      <c r="A15">
        <v>13</v>
      </c>
      <c r="B15" t="s">
        <v>14</v>
      </c>
      <c r="C15">
        <v>58.17</v>
      </c>
      <c r="D15">
        <v>272</v>
      </c>
      <c r="E15">
        <v>91.03</v>
      </c>
      <c r="F15">
        <v>767508</v>
      </c>
      <c r="G15">
        <v>420</v>
      </c>
      <c r="H15">
        <v>76775</v>
      </c>
      <c r="I15">
        <v>23865</v>
      </c>
      <c r="J15">
        <v>6033</v>
      </c>
      <c r="K15">
        <v>2110</v>
      </c>
      <c r="L15">
        <v>69</v>
      </c>
      <c r="M15">
        <v>876780</v>
      </c>
      <c r="N15">
        <v>828.27</v>
      </c>
      <c r="O15">
        <v>98.33</v>
      </c>
      <c r="P15">
        <v>264.62</v>
      </c>
      <c r="Q15">
        <v>82.19</v>
      </c>
      <c r="R15">
        <v>55.97</v>
      </c>
      <c r="S15">
        <v>11.31</v>
      </c>
      <c r="T15">
        <v>0.38</v>
      </c>
      <c r="U15">
        <v>1341.08</v>
      </c>
      <c r="V15">
        <v>1178.77</v>
      </c>
      <c r="W15">
        <v>191.64</v>
      </c>
      <c r="X15">
        <v>405.3</v>
      </c>
      <c r="Y15">
        <v>98.98</v>
      </c>
      <c r="Z15">
        <v>72.25</v>
      </c>
      <c r="AA15">
        <v>24.54</v>
      </c>
      <c r="AB15">
        <v>7.29</v>
      </c>
      <c r="AC15">
        <v>1978.76</v>
      </c>
      <c r="AD15">
        <v>1453717.46</v>
      </c>
      <c r="AE15">
        <v>215759.34</v>
      </c>
      <c r="AF15">
        <v>481187.59</v>
      </c>
      <c r="AG15">
        <v>76190.960000000006</v>
      </c>
      <c r="AH15">
        <v>114817.57</v>
      </c>
      <c r="AI15">
        <v>41706.54</v>
      </c>
      <c r="AJ15">
        <v>16785.84</v>
      </c>
      <c r="AK15">
        <v>2400165.2999999998</v>
      </c>
      <c r="AL15">
        <v>1233.25</v>
      </c>
      <c r="AM15">
        <v>1125.8599999999999</v>
      </c>
      <c r="AN15">
        <v>1187.24</v>
      </c>
      <c r="AO15">
        <v>769.76</v>
      </c>
      <c r="AP15">
        <v>1589.17</v>
      </c>
      <c r="AQ15">
        <v>1699.53</v>
      </c>
      <c r="AR15">
        <v>2302.58</v>
      </c>
      <c r="AS15">
        <v>1212.96</v>
      </c>
      <c r="AT15">
        <v>1099</v>
      </c>
      <c r="AU15">
        <v>9715.9</v>
      </c>
      <c r="AV15">
        <v>11.31</v>
      </c>
      <c r="AW15" s="23">
        <v>769537</v>
      </c>
      <c r="AX15" s="23">
        <v>94.58</v>
      </c>
      <c r="AY15">
        <v>0</v>
      </c>
      <c r="AZ15">
        <v>10496.08</v>
      </c>
      <c r="BA15">
        <f t="shared" si="0"/>
        <v>10496.08</v>
      </c>
    </row>
    <row r="16" spans="1:53" x14ac:dyDescent="0.25">
      <c r="A16">
        <v>14</v>
      </c>
      <c r="B16" t="s">
        <v>15</v>
      </c>
      <c r="C16">
        <v>131.75</v>
      </c>
      <c r="D16">
        <v>217</v>
      </c>
      <c r="E16">
        <v>213.83</v>
      </c>
      <c r="F16">
        <v>1432113</v>
      </c>
      <c r="G16">
        <v>850</v>
      </c>
      <c r="H16">
        <v>108348</v>
      </c>
      <c r="I16">
        <v>33363</v>
      </c>
      <c r="J16">
        <v>8214</v>
      </c>
      <c r="K16">
        <v>5199</v>
      </c>
      <c r="L16">
        <v>513</v>
      </c>
      <c r="M16">
        <v>1588600</v>
      </c>
      <c r="N16">
        <v>1920.08</v>
      </c>
      <c r="O16">
        <v>470.66</v>
      </c>
      <c r="P16">
        <v>824.88</v>
      </c>
      <c r="Q16">
        <v>210.01</v>
      </c>
      <c r="R16">
        <v>183.91</v>
      </c>
      <c r="S16">
        <v>27.16</v>
      </c>
      <c r="T16">
        <v>15.39</v>
      </c>
      <c r="U16">
        <v>3652.09</v>
      </c>
      <c r="V16">
        <v>3000.25</v>
      </c>
      <c r="W16">
        <v>1293.05</v>
      </c>
      <c r="X16">
        <v>1313.28</v>
      </c>
      <c r="Y16">
        <v>280.14</v>
      </c>
      <c r="Z16">
        <v>216.53</v>
      </c>
      <c r="AA16">
        <v>56.96</v>
      </c>
      <c r="AB16">
        <v>54.8</v>
      </c>
      <c r="AC16">
        <v>6214.99</v>
      </c>
      <c r="AD16">
        <v>4069033.27</v>
      </c>
      <c r="AE16">
        <v>1361561.98</v>
      </c>
      <c r="AF16">
        <v>1649356.47</v>
      </c>
      <c r="AG16">
        <v>235869.32</v>
      </c>
      <c r="AH16">
        <v>343972.49</v>
      </c>
      <c r="AI16">
        <v>96838.07</v>
      </c>
      <c r="AJ16">
        <v>108442.76</v>
      </c>
      <c r="AK16">
        <v>7865074.3600000003</v>
      </c>
      <c r="AL16">
        <v>1356.23</v>
      </c>
      <c r="AM16">
        <v>1052.98</v>
      </c>
      <c r="AN16">
        <v>1255.9100000000001</v>
      </c>
      <c r="AO16">
        <v>841.97</v>
      </c>
      <c r="AP16">
        <v>1588.57</v>
      </c>
      <c r="AQ16">
        <v>1700.11</v>
      </c>
      <c r="AR16">
        <v>1978.88</v>
      </c>
      <c r="AS16">
        <v>1265.5</v>
      </c>
      <c r="AT16">
        <v>3408</v>
      </c>
      <c r="AU16">
        <v>12187.87</v>
      </c>
      <c r="AV16">
        <v>27.96</v>
      </c>
      <c r="AW16" s="23">
        <v>1432113</v>
      </c>
      <c r="AX16" s="23">
        <v>95.66</v>
      </c>
      <c r="AY16">
        <v>0</v>
      </c>
      <c r="AZ16">
        <v>16976.23</v>
      </c>
      <c r="BA16">
        <f t="shared" si="0"/>
        <v>16976.23</v>
      </c>
    </row>
    <row r="17" spans="1:53" x14ac:dyDescent="0.25">
      <c r="A17">
        <v>15</v>
      </c>
      <c r="B17" t="s">
        <v>16</v>
      </c>
      <c r="C17">
        <v>75.510000000000005</v>
      </c>
      <c r="D17">
        <v>205</v>
      </c>
      <c r="E17">
        <v>143.94999999999999</v>
      </c>
      <c r="F17">
        <v>787514</v>
      </c>
      <c r="G17">
        <v>583</v>
      </c>
      <c r="H17">
        <v>29670</v>
      </c>
      <c r="I17">
        <v>17972</v>
      </c>
      <c r="J17">
        <v>6113</v>
      </c>
      <c r="K17">
        <v>1864</v>
      </c>
      <c r="L17">
        <v>196</v>
      </c>
      <c r="M17">
        <v>843912</v>
      </c>
      <c r="N17">
        <v>828.64</v>
      </c>
      <c r="O17">
        <v>180.03</v>
      </c>
      <c r="P17">
        <v>306.37</v>
      </c>
      <c r="Q17">
        <v>89.08</v>
      </c>
      <c r="R17">
        <v>49.4</v>
      </c>
      <c r="S17">
        <v>11.25</v>
      </c>
      <c r="T17">
        <v>1.36</v>
      </c>
      <c r="U17">
        <v>1466.13</v>
      </c>
      <c r="V17">
        <v>1053.42</v>
      </c>
      <c r="W17">
        <v>415.37</v>
      </c>
      <c r="X17">
        <v>465.24</v>
      </c>
      <c r="Y17">
        <v>111.94</v>
      </c>
      <c r="Z17">
        <v>54.55</v>
      </c>
      <c r="AA17">
        <v>38.619999999999997</v>
      </c>
      <c r="AB17">
        <v>25.05</v>
      </c>
      <c r="AC17">
        <v>2164.19</v>
      </c>
      <c r="AD17">
        <v>1170321.8400000001</v>
      </c>
      <c r="AE17">
        <v>450722.6</v>
      </c>
      <c r="AF17">
        <v>594727.82999999996</v>
      </c>
      <c r="AG17">
        <v>93484.68</v>
      </c>
      <c r="AH17">
        <v>87438.85</v>
      </c>
      <c r="AI17">
        <v>65640.679999999993</v>
      </c>
      <c r="AJ17">
        <v>45205.74</v>
      </c>
      <c r="AK17">
        <v>2507542.2200000002</v>
      </c>
      <c r="AL17">
        <v>1110.97</v>
      </c>
      <c r="AM17">
        <v>1085.1099999999999</v>
      </c>
      <c r="AN17">
        <v>1278.32</v>
      </c>
      <c r="AO17">
        <v>835.13</v>
      </c>
      <c r="AP17">
        <v>1602.91</v>
      </c>
      <c r="AQ17">
        <v>1699.66</v>
      </c>
      <c r="AR17">
        <v>1804.62</v>
      </c>
      <c r="AS17">
        <v>1158.6500000000001</v>
      </c>
      <c r="AT17">
        <v>150</v>
      </c>
      <c r="AU17">
        <v>5965.29</v>
      </c>
      <c r="AV17">
        <v>2.5099999999999998</v>
      </c>
      <c r="AW17" s="23">
        <v>787516</v>
      </c>
      <c r="AX17" s="23">
        <v>99.39</v>
      </c>
      <c r="AY17">
        <v>0</v>
      </c>
      <c r="AZ17">
        <v>32479.22</v>
      </c>
      <c r="BA17">
        <f t="shared" si="0"/>
        <v>32479.22</v>
      </c>
    </row>
    <row r="18" spans="1:53" x14ac:dyDescent="0.25">
      <c r="A18">
        <v>16</v>
      </c>
      <c r="B18" t="s">
        <v>17</v>
      </c>
      <c r="C18">
        <v>251.71</v>
      </c>
      <c r="D18">
        <v>344</v>
      </c>
      <c r="E18">
        <v>874.11</v>
      </c>
      <c r="F18">
        <v>932178</v>
      </c>
      <c r="G18">
        <v>531</v>
      </c>
      <c r="H18">
        <v>30393</v>
      </c>
      <c r="I18">
        <v>34003</v>
      </c>
      <c r="J18">
        <v>5401</v>
      </c>
      <c r="K18">
        <v>1239</v>
      </c>
      <c r="L18">
        <v>231</v>
      </c>
      <c r="M18">
        <v>1003976</v>
      </c>
      <c r="N18">
        <v>902.21</v>
      </c>
      <c r="O18">
        <v>115.23</v>
      </c>
      <c r="P18">
        <v>182.7</v>
      </c>
      <c r="Q18">
        <v>78.180000000000007</v>
      </c>
      <c r="R18">
        <v>51.4</v>
      </c>
      <c r="S18">
        <v>10.01</v>
      </c>
      <c r="T18">
        <v>1.46</v>
      </c>
      <c r="U18">
        <v>1341.2</v>
      </c>
      <c r="V18">
        <v>1165.75</v>
      </c>
      <c r="W18">
        <v>164.34</v>
      </c>
      <c r="X18">
        <v>265.39</v>
      </c>
      <c r="Y18">
        <v>93.15</v>
      </c>
      <c r="Z18">
        <v>65.91</v>
      </c>
      <c r="AA18">
        <v>29.01</v>
      </c>
      <c r="AB18">
        <v>21.09</v>
      </c>
      <c r="AC18">
        <v>1804.62</v>
      </c>
      <c r="AD18">
        <v>1304641.01</v>
      </c>
      <c r="AE18">
        <v>187499.1</v>
      </c>
      <c r="AF18">
        <v>341699.92</v>
      </c>
      <c r="AG18">
        <v>71503.78</v>
      </c>
      <c r="AH18">
        <v>104832.92</v>
      </c>
      <c r="AI18">
        <v>49301.77</v>
      </c>
      <c r="AJ18">
        <v>32151.21</v>
      </c>
      <c r="AK18">
        <v>2091629.72</v>
      </c>
      <c r="AL18">
        <v>1119.1400000000001</v>
      </c>
      <c r="AM18">
        <v>1140.92</v>
      </c>
      <c r="AN18">
        <v>1287.54</v>
      </c>
      <c r="AO18">
        <v>767.62</v>
      </c>
      <c r="AP18">
        <v>1590.55</v>
      </c>
      <c r="AQ18">
        <v>1699.48</v>
      </c>
      <c r="AR18">
        <v>1524.48</v>
      </c>
      <c r="AS18">
        <v>1159.04</v>
      </c>
      <c r="AT18">
        <v>77</v>
      </c>
      <c r="AU18">
        <v>8612.59</v>
      </c>
      <c r="AV18">
        <v>0.89</v>
      </c>
      <c r="AW18" s="23">
        <v>932289</v>
      </c>
      <c r="AX18" s="23">
        <v>98.94</v>
      </c>
      <c r="AY18">
        <v>0</v>
      </c>
      <c r="AZ18">
        <v>151147.06</v>
      </c>
      <c r="BA18">
        <f t="shared" si="0"/>
        <v>151147.06</v>
      </c>
    </row>
    <row r="19" spans="1:53" x14ac:dyDescent="0.25">
      <c r="A19">
        <v>17</v>
      </c>
      <c r="B19" t="s">
        <v>18</v>
      </c>
      <c r="C19">
        <v>21.18</v>
      </c>
      <c r="D19">
        <v>12</v>
      </c>
      <c r="E19">
        <v>41.77</v>
      </c>
      <c r="F19">
        <v>343753</v>
      </c>
      <c r="G19">
        <v>228</v>
      </c>
      <c r="H19">
        <v>11807</v>
      </c>
      <c r="I19">
        <v>8474</v>
      </c>
      <c r="J19">
        <v>2506</v>
      </c>
      <c r="K19">
        <v>593</v>
      </c>
      <c r="L19">
        <v>58</v>
      </c>
      <c r="M19">
        <v>367419</v>
      </c>
      <c r="N19">
        <v>304.56</v>
      </c>
      <c r="O19">
        <v>73.42</v>
      </c>
      <c r="P19">
        <v>75.05</v>
      </c>
      <c r="Q19">
        <v>31.04</v>
      </c>
      <c r="R19">
        <v>32.01</v>
      </c>
      <c r="S19">
        <v>4.68</v>
      </c>
      <c r="T19">
        <v>0.3</v>
      </c>
      <c r="U19">
        <v>521.04999999999995</v>
      </c>
      <c r="V19">
        <v>473.32</v>
      </c>
      <c r="W19">
        <v>84.58</v>
      </c>
      <c r="X19">
        <v>114.2</v>
      </c>
      <c r="Y19">
        <v>41.6</v>
      </c>
      <c r="Z19">
        <v>39.58</v>
      </c>
      <c r="AA19">
        <v>10.83</v>
      </c>
      <c r="AB19">
        <v>6.82</v>
      </c>
      <c r="AC19">
        <v>770.93</v>
      </c>
      <c r="AD19">
        <v>473056.16</v>
      </c>
      <c r="AE19">
        <v>98663.35</v>
      </c>
      <c r="AF19">
        <v>147976.97</v>
      </c>
      <c r="AG19">
        <v>32686.61</v>
      </c>
      <c r="AH19">
        <v>62809.95</v>
      </c>
      <c r="AI19">
        <v>18401.78</v>
      </c>
      <c r="AJ19">
        <v>15980.09</v>
      </c>
      <c r="AK19">
        <v>849574.91</v>
      </c>
      <c r="AL19">
        <v>999.44</v>
      </c>
      <c r="AM19">
        <v>1166.51</v>
      </c>
      <c r="AN19">
        <v>1295.77</v>
      </c>
      <c r="AO19">
        <v>785.74</v>
      </c>
      <c r="AP19">
        <v>1586.91</v>
      </c>
      <c r="AQ19">
        <v>1699.15</v>
      </c>
      <c r="AR19">
        <v>2343.12</v>
      </c>
      <c r="AS19">
        <v>1102.01</v>
      </c>
      <c r="AT19">
        <v>30</v>
      </c>
      <c r="AU19">
        <v>2582.33</v>
      </c>
      <c r="AV19">
        <v>1.1599999999999999</v>
      </c>
      <c r="AW19" s="23">
        <v>343640</v>
      </c>
      <c r="AX19" s="23">
        <v>99.55</v>
      </c>
      <c r="AY19">
        <v>0</v>
      </c>
      <c r="AZ19">
        <v>0</v>
      </c>
      <c r="BA19">
        <f t="shared" si="0"/>
        <v>0</v>
      </c>
    </row>
    <row r="20" spans="1:53" x14ac:dyDescent="0.25">
      <c r="A20">
        <v>18</v>
      </c>
      <c r="B20" t="s">
        <v>19</v>
      </c>
      <c r="C20">
        <v>116</v>
      </c>
      <c r="D20">
        <v>99</v>
      </c>
      <c r="E20">
        <v>426.23</v>
      </c>
      <c r="F20">
        <v>2687354</v>
      </c>
      <c r="G20">
        <v>5632</v>
      </c>
      <c r="H20">
        <v>122069</v>
      </c>
      <c r="I20">
        <v>49923</v>
      </c>
      <c r="J20">
        <v>10874</v>
      </c>
      <c r="K20">
        <v>4638</v>
      </c>
      <c r="L20">
        <v>2537</v>
      </c>
      <c r="M20">
        <v>2883027</v>
      </c>
      <c r="N20">
        <v>2884.15</v>
      </c>
      <c r="O20">
        <v>998.26</v>
      </c>
      <c r="P20">
        <v>877.51</v>
      </c>
      <c r="Q20">
        <v>310.05</v>
      </c>
      <c r="R20">
        <v>121.64</v>
      </c>
      <c r="S20">
        <v>48.3</v>
      </c>
      <c r="T20">
        <v>16.600000000000001</v>
      </c>
      <c r="U20">
        <v>5256.51</v>
      </c>
      <c r="V20">
        <v>3815.9</v>
      </c>
      <c r="W20">
        <v>2732.84</v>
      </c>
      <c r="X20">
        <v>1411.27</v>
      </c>
      <c r="Y20">
        <v>421.73</v>
      </c>
      <c r="Z20">
        <v>177.68</v>
      </c>
      <c r="AA20">
        <v>130.66999999999999</v>
      </c>
      <c r="AB20">
        <v>42.46</v>
      </c>
      <c r="AC20">
        <v>8732.5499999999993</v>
      </c>
      <c r="AD20">
        <v>4434271.07</v>
      </c>
      <c r="AE20">
        <v>2804758.69</v>
      </c>
      <c r="AF20">
        <v>1795136.9</v>
      </c>
      <c r="AG20">
        <v>357454.57</v>
      </c>
      <c r="AH20">
        <v>282805.63</v>
      </c>
      <c r="AI20">
        <v>222078.26</v>
      </c>
      <c r="AJ20">
        <v>84770.69</v>
      </c>
      <c r="AK20">
        <v>9981275.8000000007</v>
      </c>
      <c r="AL20">
        <v>1162.05</v>
      </c>
      <c r="AM20">
        <v>1026.32</v>
      </c>
      <c r="AN20">
        <v>1272</v>
      </c>
      <c r="AO20">
        <v>847.59</v>
      </c>
      <c r="AP20">
        <v>1591.66</v>
      </c>
      <c r="AQ20">
        <v>1699.54</v>
      </c>
      <c r="AR20">
        <v>1996.48</v>
      </c>
      <c r="AS20">
        <v>1143</v>
      </c>
      <c r="AT20">
        <v>3902</v>
      </c>
      <c r="AU20">
        <v>17332.82</v>
      </c>
      <c r="AV20">
        <v>22.51</v>
      </c>
      <c r="AW20" s="23">
        <v>2687988</v>
      </c>
      <c r="AX20" s="23">
        <v>97.03</v>
      </c>
      <c r="AY20">
        <v>0</v>
      </c>
      <c r="AZ20">
        <v>27822.1</v>
      </c>
      <c r="BA20">
        <f t="shared" si="0"/>
        <v>27822.1</v>
      </c>
    </row>
    <row r="21" spans="1:53" x14ac:dyDescent="0.25">
      <c r="A21">
        <v>19</v>
      </c>
      <c r="B21" t="s">
        <v>20</v>
      </c>
      <c r="C21">
        <v>36.89</v>
      </c>
      <c r="D21">
        <v>93</v>
      </c>
      <c r="E21">
        <v>116.02</v>
      </c>
      <c r="F21">
        <v>775795</v>
      </c>
      <c r="G21">
        <v>783</v>
      </c>
      <c r="H21">
        <v>34444</v>
      </c>
      <c r="I21">
        <v>18514</v>
      </c>
      <c r="J21">
        <v>6763</v>
      </c>
      <c r="K21">
        <v>1956</v>
      </c>
      <c r="L21">
        <v>201</v>
      </c>
      <c r="M21">
        <v>838456</v>
      </c>
      <c r="N21">
        <v>872.7</v>
      </c>
      <c r="O21">
        <v>342.12</v>
      </c>
      <c r="P21">
        <v>188.6</v>
      </c>
      <c r="Q21">
        <v>69.959999999999994</v>
      </c>
      <c r="R21">
        <v>47.07</v>
      </c>
      <c r="S21">
        <v>10.66</v>
      </c>
      <c r="T21">
        <v>1.6</v>
      </c>
      <c r="U21">
        <v>1532.71</v>
      </c>
      <c r="V21">
        <v>939.03</v>
      </c>
      <c r="W21">
        <v>235.89</v>
      </c>
      <c r="X21">
        <v>276.44</v>
      </c>
      <c r="Y21">
        <v>73.98</v>
      </c>
      <c r="Z21">
        <v>54.79</v>
      </c>
      <c r="AA21">
        <v>23.1</v>
      </c>
      <c r="AB21">
        <v>11.25</v>
      </c>
      <c r="AC21">
        <v>1614.48</v>
      </c>
      <c r="AD21">
        <v>1112716.29</v>
      </c>
      <c r="AE21">
        <v>257568.64000000001</v>
      </c>
      <c r="AF21">
        <v>353865.3</v>
      </c>
      <c r="AG21">
        <v>61649.02</v>
      </c>
      <c r="AH21">
        <v>85417.24</v>
      </c>
      <c r="AI21">
        <v>39291.83</v>
      </c>
      <c r="AJ21">
        <v>20923.86</v>
      </c>
      <c r="AK21">
        <v>1931432.17</v>
      </c>
      <c r="AL21">
        <v>1184.96</v>
      </c>
      <c r="AM21">
        <v>1091.9000000000001</v>
      </c>
      <c r="AN21">
        <v>1280.08</v>
      </c>
      <c r="AO21">
        <v>833.32</v>
      </c>
      <c r="AP21">
        <v>1558.99</v>
      </c>
      <c r="AQ21">
        <v>1700.95</v>
      </c>
      <c r="AR21">
        <v>1859.9</v>
      </c>
      <c r="AS21">
        <v>1196.32</v>
      </c>
      <c r="AT21">
        <v>1380</v>
      </c>
      <c r="AU21">
        <v>7392</v>
      </c>
      <c r="AV21">
        <v>18.670000000000002</v>
      </c>
      <c r="AW21" s="23">
        <v>775795</v>
      </c>
      <c r="AX21" s="23">
        <v>93.2</v>
      </c>
      <c r="AY21">
        <v>0</v>
      </c>
      <c r="AZ21">
        <v>18156.11</v>
      </c>
      <c r="BA21">
        <f t="shared" si="0"/>
        <v>18156.11</v>
      </c>
    </row>
    <row r="22" spans="1:53" x14ac:dyDescent="0.25">
      <c r="A22">
        <v>20</v>
      </c>
      <c r="B22" t="s">
        <v>21</v>
      </c>
      <c r="C22">
        <v>1.77</v>
      </c>
      <c r="D22">
        <v>4</v>
      </c>
      <c r="E22">
        <v>0</v>
      </c>
      <c r="F22">
        <v>352942</v>
      </c>
      <c r="G22">
        <v>297</v>
      </c>
      <c r="H22">
        <v>13452</v>
      </c>
      <c r="I22">
        <v>8797</v>
      </c>
      <c r="J22">
        <v>2039</v>
      </c>
      <c r="K22">
        <v>309</v>
      </c>
      <c r="L22">
        <v>199</v>
      </c>
      <c r="M22">
        <v>378035</v>
      </c>
      <c r="N22">
        <v>381.48</v>
      </c>
      <c r="O22">
        <v>34.03</v>
      </c>
      <c r="P22">
        <v>54.59</v>
      </c>
      <c r="Q22">
        <v>30.49</v>
      </c>
      <c r="R22">
        <v>22.21</v>
      </c>
      <c r="S22">
        <v>2.81</v>
      </c>
      <c r="T22">
        <v>1.42</v>
      </c>
      <c r="U22">
        <v>527.02</v>
      </c>
      <c r="V22">
        <v>369.75</v>
      </c>
      <c r="W22">
        <v>49.31</v>
      </c>
      <c r="X22">
        <v>82.84</v>
      </c>
      <c r="Y22">
        <v>31.93</v>
      </c>
      <c r="Z22">
        <v>25.14</v>
      </c>
      <c r="AA22">
        <v>7.65</v>
      </c>
      <c r="AB22">
        <v>3.88</v>
      </c>
      <c r="AC22">
        <v>570.49</v>
      </c>
      <c r="AD22">
        <v>435305.31</v>
      </c>
      <c r="AE22">
        <v>55106.879999999997</v>
      </c>
      <c r="AF22">
        <v>104065.95</v>
      </c>
      <c r="AG22">
        <v>26346.77</v>
      </c>
      <c r="AH22">
        <v>39771.43</v>
      </c>
      <c r="AI22">
        <v>13001.58</v>
      </c>
      <c r="AJ22">
        <v>7737.05</v>
      </c>
      <c r="AK22">
        <v>681334.98</v>
      </c>
      <c r="AL22">
        <v>1177.3</v>
      </c>
      <c r="AM22">
        <v>1117.56</v>
      </c>
      <c r="AN22">
        <v>1256.23</v>
      </c>
      <c r="AO22">
        <v>825.14</v>
      </c>
      <c r="AP22">
        <v>1582</v>
      </c>
      <c r="AQ22">
        <v>1699.55</v>
      </c>
      <c r="AR22">
        <v>1994.09</v>
      </c>
      <c r="AS22">
        <v>1194.3</v>
      </c>
      <c r="AT22">
        <v>196</v>
      </c>
      <c r="AU22">
        <v>3988.42</v>
      </c>
      <c r="AV22">
        <v>4.91</v>
      </c>
      <c r="AW22" s="23">
        <v>352308</v>
      </c>
      <c r="AX22" s="23">
        <v>90.66</v>
      </c>
      <c r="AY22">
        <v>0</v>
      </c>
      <c r="AZ22">
        <v>9665.98</v>
      </c>
      <c r="BA22">
        <f t="shared" si="0"/>
        <v>9665.98</v>
      </c>
    </row>
    <row r="23" spans="1:53" x14ac:dyDescent="0.25">
      <c r="A23">
        <v>21</v>
      </c>
      <c r="B23" t="s">
        <v>22</v>
      </c>
      <c r="C23">
        <v>419.53</v>
      </c>
      <c r="D23">
        <v>371</v>
      </c>
      <c r="E23">
        <v>1224.46</v>
      </c>
      <c r="F23">
        <v>322345</v>
      </c>
      <c r="G23">
        <v>87</v>
      </c>
      <c r="H23">
        <v>11379</v>
      </c>
      <c r="I23">
        <v>7090</v>
      </c>
      <c r="J23">
        <v>2836</v>
      </c>
      <c r="K23">
        <v>385</v>
      </c>
      <c r="L23">
        <v>758</v>
      </c>
      <c r="M23">
        <v>344880</v>
      </c>
      <c r="N23">
        <v>350.49</v>
      </c>
      <c r="O23">
        <v>6.01</v>
      </c>
      <c r="P23">
        <v>96.28</v>
      </c>
      <c r="Q23">
        <v>35.619999999999997</v>
      </c>
      <c r="R23">
        <v>35.68</v>
      </c>
      <c r="S23">
        <v>2.4500000000000002</v>
      </c>
      <c r="T23">
        <v>7.58</v>
      </c>
      <c r="U23">
        <v>534.11</v>
      </c>
      <c r="V23">
        <v>400.91</v>
      </c>
      <c r="W23">
        <v>11.85</v>
      </c>
      <c r="X23">
        <v>144.56</v>
      </c>
      <c r="Y23">
        <v>41.01</v>
      </c>
      <c r="Z23">
        <v>52.11</v>
      </c>
      <c r="AA23">
        <v>7.29</v>
      </c>
      <c r="AB23">
        <v>12.37</v>
      </c>
      <c r="AC23">
        <v>670.1</v>
      </c>
      <c r="AD23">
        <v>497646.11</v>
      </c>
      <c r="AE23">
        <v>13461.86</v>
      </c>
      <c r="AF23">
        <v>189039.93</v>
      </c>
      <c r="AG23">
        <v>33919.26</v>
      </c>
      <c r="AH23">
        <v>84030.66</v>
      </c>
      <c r="AI23">
        <v>12395.45</v>
      </c>
      <c r="AJ23">
        <v>20935.32</v>
      </c>
      <c r="AK23">
        <v>851428.58</v>
      </c>
      <c r="AL23">
        <v>1241.29</v>
      </c>
      <c r="AM23">
        <v>1136.02</v>
      </c>
      <c r="AN23">
        <v>1307.69</v>
      </c>
      <c r="AO23">
        <v>827.1</v>
      </c>
      <c r="AP23">
        <v>1612.56</v>
      </c>
      <c r="AQ23">
        <v>1700.34</v>
      </c>
      <c r="AR23">
        <v>1692.43</v>
      </c>
      <c r="AS23">
        <v>1270.5999999999999</v>
      </c>
      <c r="AT23">
        <v>562</v>
      </c>
      <c r="AU23">
        <v>4799.47</v>
      </c>
      <c r="AV23">
        <v>11.71</v>
      </c>
      <c r="AW23" s="23">
        <v>443634</v>
      </c>
      <c r="AX23" s="23">
        <v>97.49</v>
      </c>
      <c r="AY23">
        <v>0</v>
      </c>
      <c r="AZ23">
        <v>0</v>
      </c>
      <c r="BA23">
        <f t="shared" si="0"/>
        <v>0</v>
      </c>
    </row>
    <row r="24" spans="1:53" x14ac:dyDescent="0.25">
      <c r="A24">
        <v>22</v>
      </c>
      <c r="B24" t="s">
        <v>23</v>
      </c>
      <c r="C24">
        <v>180.94</v>
      </c>
      <c r="D24">
        <v>457</v>
      </c>
      <c r="E24">
        <v>432.54</v>
      </c>
      <c r="F24">
        <v>463633</v>
      </c>
      <c r="G24">
        <v>104</v>
      </c>
      <c r="H24">
        <v>14732</v>
      </c>
      <c r="I24">
        <v>11954</v>
      </c>
      <c r="J24">
        <v>3898</v>
      </c>
      <c r="K24">
        <v>1197</v>
      </c>
      <c r="L24">
        <v>540</v>
      </c>
      <c r="M24">
        <v>496058</v>
      </c>
      <c r="N24">
        <v>486.51</v>
      </c>
      <c r="O24">
        <v>90.38</v>
      </c>
      <c r="P24">
        <v>83.45</v>
      </c>
      <c r="Q24">
        <v>32.880000000000003</v>
      </c>
      <c r="R24">
        <v>29.12</v>
      </c>
      <c r="S24">
        <v>4.79</v>
      </c>
      <c r="T24">
        <v>16.64</v>
      </c>
      <c r="U24">
        <v>743.76</v>
      </c>
      <c r="V24">
        <v>561.88</v>
      </c>
      <c r="W24">
        <v>544.72</v>
      </c>
      <c r="X24">
        <v>129.78</v>
      </c>
      <c r="Y24">
        <v>39.049999999999997</v>
      </c>
      <c r="Z24">
        <v>44.84</v>
      </c>
      <c r="AA24">
        <v>10.88</v>
      </c>
      <c r="AB24">
        <v>25.46</v>
      </c>
      <c r="AC24">
        <v>1356.62</v>
      </c>
      <c r="AD24">
        <v>693247.52</v>
      </c>
      <c r="AE24">
        <v>402810.25</v>
      </c>
      <c r="AF24">
        <v>168935.36</v>
      </c>
      <c r="AG24">
        <v>30346.7</v>
      </c>
      <c r="AH24">
        <v>71969.850000000006</v>
      </c>
      <c r="AI24">
        <v>18497.060000000001</v>
      </c>
      <c r="AJ24">
        <v>41565.49</v>
      </c>
      <c r="AK24">
        <v>1427372.23</v>
      </c>
      <c r="AL24">
        <v>1233.8</v>
      </c>
      <c r="AM24">
        <v>739.48</v>
      </c>
      <c r="AN24">
        <v>1301.71</v>
      </c>
      <c r="AO24">
        <v>777.12</v>
      </c>
      <c r="AP24">
        <v>1605.04</v>
      </c>
      <c r="AQ24">
        <v>1700.1</v>
      </c>
      <c r="AR24">
        <v>1632.58</v>
      </c>
      <c r="AS24">
        <v>1052.1500000000001</v>
      </c>
      <c r="AT24">
        <v>195</v>
      </c>
      <c r="AU24">
        <v>3849.17</v>
      </c>
      <c r="AV24">
        <v>5.07</v>
      </c>
      <c r="AW24" s="23">
        <v>342344</v>
      </c>
      <c r="AX24" s="23">
        <v>88.92</v>
      </c>
      <c r="AY24">
        <v>111870.91</v>
      </c>
      <c r="AZ24">
        <v>295679.26</v>
      </c>
      <c r="BA24">
        <f t="shared" si="0"/>
        <v>407550.17000000004</v>
      </c>
    </row>
    <row r="25" spans="1:53" x14ac:dyDescent="0.25">
      <c r="A25">
        <v>23</v>
      </c>
      <c r="B25" t="s">
        <v>24</v>
      </c>
      <c r="C25">
        <v>203.13</v>
      </c>
      <c r="D25">
        <v>464</v>
      </c>
      <c r="E25">
        <v>613.52</v>
      </c>
      <c r="F25">
        <v>528418</v>
      </c>
      <c r="G25">
        <v>137</v>
      </c>
      <c r="H25">
        <v>34405</v>
      </c>
      <c r="I25">
        <v>13593</v>
      </c>
      <c r="J25">
        <v>4960</v>
      </c>
      <c r="K25">
        <v>1096</v>
      </c>
      <c r="L25">
        <v>313</v>
      </c>
      <c r="M25">
        <v>582922</v>
      </c>
      <c r="N25">
        <v>741.57</v>
      </c>
      <c r="O25">
        <v>12.04</v>
      </c>
      <c r="P25">
        <v>249.57</v>
      </c>
      <c r="Q25">
        <v>76.209999999999994</v>
      </c>
      <c r="R25">
        <v>86.78</v>
      </c>
      <c r="S25">
        <v>6.23</v>
      </c>
      <c r="T25">
        <v>1.64</v>
      </c>
      <c r="U25">
        <v>1174.03</v>
      </c>
      <c r="V25">
        <v>856.5</v>
      </c>
      <c r="W25">
        <v>12.44</v>
      </c>
      <c r="X25">
        <v>356.77</v>
      </c>
      <c r="Y25">
        <v>92.78</v>
      </c>
      <c r="Z25">
        <v>99.93</v>
      </c>
      <c r="AA25">
        <v>11.63</v>
      </c>
      <c r="AB25">
        <v>5.85</v>
      </c>
      <c r="AC25">
        <v>1435.89</v>
      </c>
      <c r="AD25">
        <v>1196301.83</v>
      </c>
      <c r="AE25">
        <v>14142.65</v>
      </c>
      <c r="AF25">
        <v>451871.85</v>
      </c>
      <c r="AG25">
        <v>77244.95</v>
      </c>
      <c r="AH25">
        <v>158399.66</v>
      </c>
      <c r="AI25">
        <v>19779.61</v>
      </c>
      <c r="AJ25">
        <v>9218.83</v>
      </c>
      <c r="AK25">
        <v>1926959.37</v>
      </c>
      <c r="AL25">
        <v>1396.73</v>
      </c>
      <c r="AM25">
        <v>1136.8699999999999</v>
      </c>
      <c r="AN25">
        <v>1266.56</v>
      </c>
      <c r="AO25">
        <v>832.56</v>
      </c>
      <c r="AP25">
        <v>1585.11</v>
      </c>
      <c r="AQ25">
        <v>1700.74</v>
      </c>
      <c r="AR25">
        <v>1575.87</v>
      </c>
      <c r="AS25">
        <v>1342</v>
      </c>
      <c r="AT25">
        <v>11</v>
      </c>
      <c r="AU25">
        <v>5419.76</v>
      </c>
      <c r="AV25">
        <v>0.2</v>
      </c>
      <c r="AW25" s="23">
        <v>268426</v>
      </c>
      <c r="AX25" s="23">
        <v>90.16</v>
      </c>
      <c r="AY25">
        <v>0</v>
      </c>
      <c r="AZ25">
        <v>113907.62</v>
      </c>
      <c r="BA25">
        <f t="shared" si="0"/>
        <v>113907.62</v>
      </c>
    </row>
    <row r="26" spans="1:53" x14ac:dyDescent="0.25">
      <c r="A26">
        <v>24</v>
      </c>
      <c r="B26" t="s">
        <v>25</v>
      </c>
      <c r="C26">
        <v>480.15</v>
      </c>
      <c r="D26">
        <v>397</v>
      </c>
      <c r="E26">
        <v>1805.8</v>
      </c>
      <c r="F26">
        <v>272227</v>
      </c>
      <c r="G26">
        <v>57</v>
      </c>
      <c r="H26">
        <v>17298</v>
      </c>
      <c r="I26">
        <v>7655</v>
      </c>
      <c r="J26">
        <v>3639</v>
      </c>
      <c r="K26">
        <v>834</v>
      </c>
      <c r="L26">
        <v>457</v>
      </c>
      <c r="M26">
        <v>302167</v>
      </c>
      <c r="N26">
        <v>365.79</v>
      </c>
      <c r="O26">
        <v>12.01</v>
      </c>
      <c r="P26">
        <v>124.76</v>
      </c>
      <c r="Q26">
        <v>42.85</v>
      </c>
      <c r="R26">
        <v>53.14</v>
      </c>
      <c r="S26">
        <v>2.3199999999999998</v>
      </c>
      <c r="T26">
        <v>1.42</v>
      </c>
      <c r="U26">
        <v>602.29999999999995</v>
      </c>
      <c r="V26">
        <v>426.31</v>
      </c>
      <c r="W26">
        <v>14.05</v>
      </c>
      <c r="X26">
        <v>172.73</v>
      </c>
      <c r="Y26">
        <v>46.46</v>
      </c>
      <c r="Z26">
        <v>52.17</v>
      </c>
      <c r="AA26">
        <v>6.18</v>
      </c>
      <c r="AB26">
        <v>2.73</v>
      </c>
      <c r="AC26">
        <v>720.64</v>
      </c>
      <c r="AD26">
        <v>582387.22</v>
      </c>
      <c r="AE26">
        <v>16444.03</v>
      </c>
      <c r="AF26">
        <v>220230.92</v>
      </c>
      <c r="AG26">
        <v>38819.18</v>
      </c>
      <c r="AH26">
        <v>85051.48</v>
      </c>
      <c r="AI26">
        <v>10505.08</v>
      </c>
      <c r="AJ26">
        <v>4620.04</v>
      </c>
      <c r="AK26">
        <v>958057.95</v>
      </c>
      <c r="AL26">
        <v>1366.11</v>
      </c>
      <c r="AM26">
        <v>1170.3900000000001</v>
      </c>
      <c r="AN26">
        <v>1275</v>
      </c>
      <c r="AO26">
        <v>835.54</v>
      </c>
      <c r="AP26">
        <v>1630.28</v>
      </c>
      <c r="AQ26">
        <v>1699.85</v>
      </c>
      <c r="AR26">
        <v>1692.32</v>
      </c>
      <c r="AS26">
        <v>1329.45</v>
      </c>
      <c r="AT26">
        <v>6</v>
      </c>
      <c r="AU26">
        <v>3064.73</v>
      </c>
      <c r="AV26">
        <v>0.2</v>
      </c>
      <c r="AW26" s="23">
        <v>138188</v>
      </c>
      <c r="AX26" s="23">
        <v>89.65</v>
      </c>
      <c r="AY26">
        <v>0</v>
      </c>
      <c r="AZ26">
        <v>161432.03</v>
      </c>
      <c r="BA26">
        <f t="shared" si="0"/>
        <v>161432.03</v>
      </c>
    </row>
    <row r="27" spans="1:53" x14ac:dyDescent="0.25">
      <c r="A27">
        <v>25</v>
      </c>
      <c r="B27" t="s">
        <v>26</v>
      </c>
      <c r="C27">
        <v>6.8</v>
      </c>
      <c r="D27">
        <v>8</v>
      </c>
      <c r="E27">
        <v>13.29</v>
      </c>
      <c r="F27">
        <v>1468786</v>
      </c>
      <c r="G27">
        <v>1456</v>
      </c>
      <c r="H27">
        <v>225486</v>
      </c>
      <c r="I27">
        <v>46726</v>
      </c>
      <c r="J27">
        <v>4606</v>
      </c>
      <c r="K27">
        <v>6566</v>
      </c>
      <c r="L27">
        <v>43057</v>
      </c>
      <c r="M27">
        <v>1796683</v>
      </c>
      <c r="N27">
        <v>2402.34</v>
      </c>
      <c r="O27">
        <v>125.11</v>
      </c>
      <c r="P27">
        <v>2018.56</v>
      </c>
      <c r="Q27">
        <v>228.42</v>
      </c>
      <c r="R27">
        <v>87.5</v>
      </c>
      <c r="S27">
        <v>35.549999999999997</v>
      </c>
      <c r="T27">
        <v>67.63</v>
      </c>
      <c r="U27">
        <v>4965.1000000000004</v>
      </c>
      <c r="V27">
        <v>3173.66</v>
      </c>
      <c r="W27">
        <v>227.35</v>
      </c>
      <c r="X27">
        <v>3389.04</v>
      </c>
      <c r="Y27">
        <v>238.95</v>
      </c>
      <c r="Z27">
        <v>106.72</v>
      </c>
      <c r="AA27">
        <v>60.66</v>
      </c>
      <c r="AB27">
        <v>104.98</v>
      </c>
      <c r="AC27">
        <v>7301.36</v>
      </c>
      <c r="AD27">
        <v>4566418.24</v>
      </c>
      <c r="AE27">
        <v>253430.37</v>
      </c>
      <c r="AF27">
        <v>4292845.17</v>
      </c>
      <c r="AG27">
        <v>206188.58</v>
      </c>
      <c r="AH27">
        <v>173726.97</v>
      </c>
      <c r="AI27">
        <v>103095.53</v>
      </c>
      <c r="AJ27">
        <v>200344.1</v>
      </c>
      <c r="AK27">
        <v>9796048.9700000007</v>
      </c>
      <c r="AL27">
        <v>1438.85</v>
      </c>
      <c r="AM27">
        <v>1114.71</v>
      </c>
      <c r="AN27">
        <v>1266.68</v>
      </c>
      <c r="AO27">
        <v>862.89</v>
      </c>
      <c r="AP27">
        <v>1627.88</v>
      </c>
      <c r="AQ27">
        <v>1699.56</v>
      </c>
      <c r="AR27">
        <v>1908.4</v>
      </c>
      <c r="AS27">
        <v>1341.67</v>
      </c>
      <c r="AT27">
        <v>154</v>
      </c>
      <c r="AU27">
        <v>8947.6299999999992</v>
      </c>
      <c r="AV27">
        <v>1.72</v>
      </c>
      <c r="AW27" s="23">
        <v>1468786</v>
      </c>
      <c r="AX27" s="23">
        <v>100</v>
      </c>
      <c r="AY27">
        <v>72605.3</v>
      </c>
      <c r="AZ27">
        <v>356165.43</v>
      </c>
      <c r="BA27">
        <f t="shared" si="0"/>
        <v>428770.73</v>
      </c>
    </row>
    <row r="28" spans="1:53" x14ac:dyDescent="0.25">
      <c r="A28">
        <v>26</v>
      </c>
      <c r="B28" t="s">
        <v>27</v>
      </c>
      <c r="C28">
        <v>751.98</v>
      </c>
      <c r="D28">
        <v>179</v>
      </c>
      <c r="E28">
        <v>3274.09</v>
      </c>
      <c r="F28">
        <v>1914658</v>
      </c>
      <c r="G28">
        <v>707</v>
      </c>
      <c r="H28">
        <v>46710</v>
      </c>
      <c r="I28">
        <v>34660</v>
      </c>
      <c r="J28">
        <v>4999</v>
      </c>
      <c r="K28">
        <v>3432</v>
      </c>
      <c r="L28">
        <v>388</v>
      </c>
      <c r="M28">
        <v>2005554</v>
      </c>
      <c r="N28">
        <v>1611.86</v>
      </c>
      <c r="O28">
        <v>157.83000000000001</v>
      </c>
      <c r="P28">
        <v>364.43</v>
      </c>
      <c r="Q28">
        <v>103.82</v>
      </c>
      <c r="R28">
        <v>46.18</v>
      </c>
      <c r="S28">
        <v>17.38</v>
      </c>
      <c r="T28">
        <v>5.49</v>
      </c>
      <c r="U28">
        <v>2306.98</v>
      </c>
      <c r="V28">
        <v>1786.33</v>
      </c>
      <c r="W28">
        <v>282.12</v>
      </c>
      <c r="X28">
        <v>510.53</v>
      </c>
      <c r="Y28">
        <v>140.58000000000001</v>
      </c>
      <c r="Z28">
        <v>54.43</v>
      </c>
      <c r="AA28">
        <v>55.42</v>
      </c>
      <c r="AB28">
        <v>23.72</v>
      </c>
      <c r="AC28">
        <v>2853.13</v>
      </c>
      <c r="AD28">
        <v>1571046.73</v>
      </c>
      <c r="AE28">
        <v>319128.71000000002</v>
      </c>
      <c r="AF28">
        <v>666786.65</v>
      </c>
      <c r="AG28">
        <v>110321.85</v>
      </c>
      <c r="AH28">
        <v>86070.080000000002</v>
      </c>
      <c r="AI28">
        <v>94511.12</v>
      </c>
      <c r="AJ28">
        <v>38575.050000000003</v>
      </c>
      <c r="AK28">
        <v>2886440.2</v>
      </c>
      <c r="AL28">
        <v>879.48</v>
      </c>
      <c r="AM28">
        <v>1131.18</v>
      </c>
      <c r="AN28">
        <v>1306.07</v>
      </c>
      <c r="AO28">
        <v>784.76</v>
      </c>
      <c r="AP28">
        <v>1581.3</v>
      </c>
      <c r="AQ28">
        <v>1705.36</v>
      </c>
      <c r="AR28">
        <v>1626.27</v>
      </c>
      <c r="AS28">
        <v>1011.67</v>
      </c>
      <c r="AT28">
        <v>944</v>
      </c>
      <c r="AU28">
        <v>7269</v>
      </c>
      <c r="AV28">
        <v>12.99</v>
      </c>
      <c r="AW28" s="23">
        <v>1914658</v>
      </c>
      <c r="AX28" s="23">
        <v>99.77</v>
      </c>
      <c r="AY28">
        <v>0</v>
      </c>
      <c r="AZ28">
        <v>0</v>
      </c>
      <c r="BA28">
        <f t="shared" si="0"/>
        <v>0</v>
      </c>
    </row>
    <row r="29" spans="1:53" x14ac:dyDescent="0.25">
      <c r="A29">
        <v>27</v>
      </c>
      <c r="B29" t="s">
        <v>28</v>
      </c>
      <c r="C29">
        <v>627.85</v>
      </c>
      <c r="D29">
        <v>507</v>
      </c>
      <c r="E29">
        <v>1691.88</v>
      </c>
      <c r="F29">
        <v>1209067</v>
      </c>
      <c r="G29">
        <v>469</v>
      </c>
      <c r="H29">
        <v>37744</v>
      </c>
      <c r="I29">
        <v>27367</v>
      </c>
      <c r="J29">
        <v>8487</v>
      </c>
      <c r="K29">
        <v>1263</v>
      </c>
      <c r="L29">
        <v>900</v>
      </c>
      <c r="M29">
        <v>1285297</v>
      </c>
      <c r="N29">
        <v>1247.7</v>
      </c>
      <c r="O29">
        <v>42.17</v>
      </c>
      <c r="P29">
        <v>242.47</v>
      </c>
      <c r="Q29">
        <v>110.86</v>
      </c>
      <c r="R29">
        <v>59.34</v>
      </c>
      <c r="S29">
        <v>7.16</v>
      </c>
      <c r="T29">
        <v>6.27</v>
      </c>
      <c r="U29">
        <v>1715.95</v>
      </c>
      <c r="V29">
        <v>897.05</v>
      </c>
      <c r="W29">
        <v>42.5</v>
      </c>
      <c r="X29">
        <v>317.42</v>
      </c>
      <c r="Y29">
        <v>97.13</v>
      </c>
      <c r="Z29">
        <v>58.05</v>
      </c>
      <c r="AA29">
        <v>18.13</v>
      </c>
      <c r="AB29">
        <v>23.86</v>
      </c>
      <c r="AC29">
        <v>1454.14</v>
      </c>
      <c r="AD29">
        <v>1074759.28</v>
      </c>
      <c r="AE29">
        <v>49929.919999999998</v>
      </c>
      <c r="AF29">
        <v>414662.06</v>
      </c>
      <c r="AG29">
        <v>92066.38</v>
      </c>
      <c r="AH29">
        <v>91135.29</v>
      </c>
      <c r="AI29">
        <v>30834.29</v>
      </c>
      <c r="AJ29">
        <v>37347.68</v>
      </c>
      <c r="AK29">
        <v>1790734.9</v>
      </c>
      <c r="AL29">
        <v>1198.0999999999999</v>
      </c>
      <c r="AM29">
        <v>1174.82</v>
      </c>
      <c r="AN29">
        <v>1306.3499999999999</v>
      </c>
      <c r="AO29">
        <v>947.87</v>
      </c>
      <c r="AP29">
        <v>1569.94</v>
      </c>
      <c r="AQ29">
        <v>1700.73</v>
      </c>
      <c r="AR29">
        <v>1565.28</v>
      </c>
      <c r="AS29">
        <v>1231.47</v>
      </c>
      <c r="AT29">
        <v>544</v>
      </c>
      <c r="AU29">
        <v>13694.02</v>
      </c>
      <c r="AV29">
        <v>3.97</v>
      </c>
      <c r="AW29" s="23">
        <v>1209067</v>
      </c>
      <c r="AX29" s="23">
        <v>89.01</v>
      </c>
      <c r="AY29">
        <v>675688.24</v>
      </c>
      <c r="AZ29">
        <v>495523.72000000003</v>
      </c>
      <c r="BA29">
        <f t="shared" si="0"/>
        <v>1171211.96</v>
      </c>
    </row>
    <row r="30" spans="1:53" x14ac:dyDescent="0.25">
      <c r="A30">
        <v>28</v>
      </c>
      <c r="B30" t="s">
        <v>29</v>
      </c>
      <c r="C30">
        <v>81</v>
      </c>
      <c r="D30">
        <v>119</v>
      </c>
      <c r="E30">
        <v>214.21</v>
      </c>
      <c r="F30">
        <v>12742320</v>
      </c>
      <c r="G30">
        <v>158630</v>
      </c>
      <c r="H30">
        <v>811215</v>
      </c>
      <c r="I30">
        <v>383497</v>
      </c>
      <c r="J30">
        <v>26228</v>
      </c>
      <c r="K30">
        <v>75080</v>
      </c>
      <c r="L30">
        <v>5166</v>
      </c>
      <c r="M30">
        <v>14202136</v>
      </c>
      <c r="N30">
        <v>11631.02</v>
      </c>
      <c r="O30">
        <v>8181.47</v>
      </c>
      <c r="P30">
        <v>4511.04</v>
      </c>
      <c r="Q30">
        <v>1349.72</v>
      </c>
      <c r="R30">
        <v>389.34</v>
      </c>
      <c r="S30">
        <v>261.57</v>
      </c>
      <c r="T30">
        <v>82.42</v>
      </c>
      <c r="U30">
        <v>26406.59</v>
      </c>
      <c r="V30">
        <v>17159.72</v>
      </c>
      <c r="W30">
        <v>17782.669999999998</v>
      </c>
      <c r="X30">
        <v>6187.32</v>
      </c>
      <c r="Y30">
        <v>1894.32</v>
      </c>
      <c r="Z30">
        <v>497.11</v>
      </c>
      <c r="AA30">
        <v>568.46</v>
      </c>
      <c r="AB30">
        <v>222.23</v>
      </c>
      <c r="AC30">
        <v>44311.839999999997</v>
      </c>
      <c r="AD30">
        <v>17861376.91</v>
      </c>
      <c r="AE30">
        <v>19260285.440000001</v>
      </c>
      <c r="AF30">
        <v>7682127.0499999998</v>
      </c>
      <c r="AG30">
        <v>1532163.89</v>
      </c>
      <c r="AH30">
        <v>787922.41</v>
      </c>
      <c r="AI30">
        <v>966321.97</v>
      </c>
      <c r="AJ30">
        <v>480378.58</v>
      </c>
      <c r="AK30">
        <v>48570576.240000002</v>
      </c>
      <c r="AL30">
        <v>1040.8900000000001</v>
      </c>
      <c r="AM30">
        <v>1083.0899999999999</v>
      </c>
      <c r="AN30">
        <v>1241.5899999999999</v>
      </c>
      <c r="AO30">
        <v>808.82</v>
      </c>
      <c r="AP30">
        <v>1585.01</v>
      </c>
      <c r="AQ30">
        <v>1699.89</v>
      </c>
      <c r="AR30">
        <v>2161.63</v>
      </c>
      <c r="AS30">
        <v>1096.1099999999999</v>
      </c>
      <c r="AT30">
        <v>125</v>
      </c>
      <c r="AU30">
        <v>42639.23</v>
      </c>
      <c r="AV30">
        <v>0.28999999999999998</v>
      </c>
      <c r="AW30" s="23">
        <v>12743923</v>
      </c>
      <c r="AX30" s="23">
        <v>99.56</v>
      </c>
      <c r="AY30">
        <v>578683.82999999996</v>
      </c>
      <c r="AZ30">
        <v>223388.72</v>
      </c>
      <c r="BA30">
        <f t="shared" si="0"/>
        <v>802072.54999999993</v>
      </c>
    </row>
    <row r="31" spans="1:53" x14ac:dyDescent="0.25">
      <c r="A31">
        <v>29</v>
      </c>
      <c r="B31" t="s">
        <v>30</v>
      </c>
      <c r="C31">
        <v>44.24</v>
      </c>
      <c r="D31">
        <v>36</v>
      </c>
      <c r="E31">
        <v>144.75</v>
      </c>
      <c r="F31">
        <v>11168464</v>
      </c>
      <c r="G31">
        <v>19998</v>
      </c>
      <c r="H31">
        <v>631669</v>
      </c>
      <c r="I31">
        <v>321011</v>
      </c>
      <c r="J31">
        <v>28161</v>
      </c>
      <c r="K31">
        <v>55712</v>
      </c>
      <c r="L31">
        <v>2023</v>
      </c>
      <c r="M31">
        <v>12227038</v>
      </c>
      <c r="N31">
        <v>9378.64</v>
      </c>
      <c r="O31">
        <v>4044.34</v>
      </c>
      <c r="P31">
        <v>3105.17</v>
      </c>
      <c r="Q31">
        <v>1070.32</v>
      </c>
      <c r="R31">
        <v>288.86</v>
      </c>
      <c r="S31">
        <v>184.64</v>
      </c>
      <c r="T31">
        <v>161.9</v>
      </c>
      <c r="U31">
        <v>18233.88</v>
      </c>
      <c r="V31">
        <v>14545.2</v>
      </c>
      <c r="W31">
        <v>8812.11</v>
      </c>
      <c r="X31">
        <v>4368.29</v>
      </c>
      <c r="Y31">
        <v>1574.99</v>
      </c>
      <c r="Z31">
        <v>346.74</v>
      </c>
      <c r="AA31">
        <v>487.4</v>
      </c>
      <c r="AB31">
        <v>256.69</v>
      </c>
      <c r="AC31">
        <v>30391.43</v>
      </c>
      <c r="AD31">
        <v>13765462.34</v>
      </c>
      <c r="AE31">
        <v>9756612.1500000004</v>
      </c>
      <c r="AF31">
        <v>5506064.3499999996</v>
      </c>
      <c r="AG31">
        <v>1292782.19</v>
      </c>
      <c r="AH31">
        <v>542604.25</v>
      </c>
      <c r="AI31">
        <v>828385.46</v>
      </c>
      <c r="AJ31">
        <v>386440.78</v>
      </c>
      <c r="AK31">
        <v>32078351.530000001</v>
      </c>
      <c r="AL31">
        <v>946.39</v>
      </c>
      <c r="AM31">
        <v>1107.18</v>
      </c>
      <c r="AN31">
        <v>1260.46</v>
      </c>
      <c r="AO31">
        <v>820.82</v>
      </c>
      <c r="AP31">
        <v>1564.87</v>
      </c>
      <c r="AQ31">
        <v>1699.6</v>
      </c>
      <c r="AR31">
        <v>1505.48</v>
      </c>
      <c r="AS31">
        <v>1055.51</v>
      </c>
      <c r="AT31">
        <v>197</v>
      </c>
      <c r="AU31">
        <v>49787.31</v>
      </c>
      <c r="AV31">
        <v>0.4</v>
      </c>
      <c r="AW31" s="23">
        <v>11167006</v>
      </c>
      <c r="AX31" s="23">
        <v>99.99</v>
      </c>
      <c r="AY31">
        <v>0</v>
      </c>
      <c r="AZ31">
        <v>26076.17</v>
      </c>
      <c r="BA31">
        <f t="shared" si="0"/>
        <v>26076.17</v>
      </c>
    </row>
    <row r="32" spans="1:53" x14ac:dyDescent="0.25">
      <c r="A32">
        <v>30</v>
      </c>
      <c r="B32" t="s">
        <v>31</v>
      </c>
      <c r="C32">
        <v>0.78</v>
      </c>
      <c r="D32">
        <v>2</v>
      </c>
      <c r="E32">
        <v>3.64</v>
      </c>
      <c r="F32">
        <v>1409425</v>
      </c>
      <c r="G32">
        <v>896</v>
      </c>
      <c r="H32">
        <v>79175</v>
      </c>
      <c r="I32">
        <v>35823</v>
      </c>
      <c r="J32">
        <v>4275</v>
      </c>
      <c r="K32">
        <v>14487</v>
      </c>
      <c r="L32">
        <v>113</v>
      </c>
      <c r="M32">
        <v>1544194</v>
      </c>
      <c r="N32">
        <v>1535.27</v>
      </c>
      <c r="O32">
        <v>135.21</v>
      </c>
      <c r="P32">
        <v>595.54999999999995</v>
      </c>
      <c r="Q32">
        <v>238.89</v>
      </c>
      <c r="R32">
        <v>75.069999999999993</v>
      </c>
      <c r="S32">
        <v>29.7</v>
      </c>
      <c r="T32">
        <v>12.42</v>
      </c>
      <c r="U32">
        <v>2622.11</v>
      </c>
      <c r="V32">
        <v>2095.5300000000002</v>
      </c>
      <c r="W32">
        <v>282.70999999999998</v>
      </c>
      <c r="X32">
        <v>993.06</v>
      </c>
      <c r="Y32">
        <v>361.02</v>
      </c>
      <c r="Z32">
        <v>86.89</v>
      </c>
      <c r="AA32">
        <v>67.25</v>
      </c>
      <c r="AB32">
        <v>4.72</v>
      </c>
      <c r="AC32">
        <v>3891.18</v>
      </c>
      <c r="AD32">
        <v>2450847.59</v>
      </c>
      <c r="AE32">
        <v>313360.45</v>
      </c>
      <c r="AF32">
        <v>1240605.99</v>
      </c>
      <c r="AG32">
        <v>312208.34999999998</v>
      </c>
      <c r="AH32">
        <v>137490.44</v>
      </c>
      <c r="AI32">
        <v>114377.27</v>
      </c>
      <c r="AJ32">
        <v>8301.99</v>
      </c>
      <c r="AK32">
        <v>4577192.09</v>
      </c>
      <c r="AL32">
        <v>1169.56</v>
      </c>
      <c r="AM32">
        <v>1108.42</v>
      </c>
      <c r="AN32">
        <v>1249.28</v>
      </c>
      <c r="AO32">
        <v>864.8</v>
      </c>
      <c r="AP32">
        <v>1582.35</v>
      </c>
      <c r="AQ32">
        <v>1700.78</v>
      </c>
      <c r="AR32">
        <v>1758.9</v>
      </c>
      <c r="AS32">
        <v>1176.3</v>
      </c>
      <c r="AT32">
        <v>25</v>
      </c>
      <c r="AU32">
        <v>5933.33</v>
      </c>
      <c r="AV32">
        <v>0.42</v>
      </c>
      <c r="AW32" s="23">
        <v>1409280</v>
      </c>
      <c r="AX32" s="23">
        <v>99.67</v>
      </c>
      <c r="AY32">
        <v>0</v>
      </c>
      <c r="AZ32">
        <v>213.23</v>
      </c>
      <c r="BA32">
        <f t="shared" si="0"/>
        <v>213.23</v>
      </c>
    </row>
    <row r="33" spans="1:53" x14ac:dyDescent="0.25">
      <c r="A33">
        <v>31</v>
      </c>
      <c r="B33" t="s">
        <v>32</v>
      </c>
      <c r="C33" s="1">
        <v>149.79</v>
      </c>
      <c r="D33">
        <v>28</v>
      </c>
      <c r="E33">
        <v>571.52</v>
      </c>
      <c r="F33">
        <v>16115474</v>
      </c>
      <c r="G33">
        <v>18632</v>
      </c>
      <c r="H33">
        <v>914421</v>
      </c>
      <c r="I33">
        <v>379969</v>
      </c>
      <c r="J33">
        <v>20695</v>
      </c>
      <c r="K33">
        <v>109231</v>
      </c>
      <c r="L33">
        <v>4705</v>
      </c>
      <c r="M33">
        <v>17563127</v>
      </c>
      <c r="N33">
        <v>15804.41</v>
      </c>
      <c r="O33">
        <v>9667.5</v>
      </c>
      <c r="P33">
        <v>5904.62</v>
      </c>
      <c r="Q33">
        <v>1223.04</v>
      </c>
      <c r="R33">
        <v>478.61</v>
      </c>
      <c r="S33">
        <v>164.23</v>
      </c>
      <c r="T33">
        <v>447.73</v>
      </c>
      <c r="U33">
        <v>33690.120000000003</v>
      </c>
      <c r="V33">
        <v>22917.83</v>
      </c>
      <c r="W33">
        <v>25576.57</v>
      </c>
      <c r="X33">
        <v>9589.85</v>
      </c>
      <c r="Y33">
        <v>1929.35</v>
      </c>
      <c r="Z33">
        <v>559.61</v>
      </c>
      <c r="AA33">
        <v>373.69</v>
      </c>
      <c r="AB33">
        <v>690.57</v>
      </c>
      <c r="AC33">
        <v>61637.47</v>
      </c>
      <c r="AD33">
        <v>25481958.559999999</v>
      </c>
      <c r="AE33">
        <v>27722521.32</v>
      </c>
      <c r="AF33">
        <v>11611758.140000001</v>
      </c>
      <c r="AG33">
        <v>1482609.31</v>
      </c>
      <c r="AH33">
        <v>876470.92</v>
      </c>
      <c r="AI33">
        <v>645741.13</v>
      </c>
      <c r="AJ33">
        <v>1152041.06</v>
      </c>
      <c r="AK33">
        <v>68973100.430000007</v>
      </c>
      <c r="AL33">
        <v>1111.8800000000001</v>
      </c>
      <c r="AM33">
        <v>1083.9000000000001</v>
      </c>
      <c r="AN33">
        <v>1210.8399999999999</v>
      </c>
      <c r="AO33">
        <v>768.45</v>
      </c>
      <c r="AP33">
        <v>1566.22</v>
      </c>
      <c r="AQ33">
        <v>1728.01</v>
      </c>
      <c r="AR33">
        <v>1668.25</v>
      </c>
      <c r="AS33">
        <v>1119.01</v>
      </c>
      <c r="AT33">
        <v>120</v>
      </c>
      <c r="AU33">
        <v>51452.15</v>
      </c>
      <c r="AV33">
        <v>0.23</v>
      </c>
      <c r="AW33" s="23">
        <v>16775676</v>
      </c>
      <c r="AX33" s="23">
        <v>99.99</v>
      </c>
      <c r="AY33">
        <v>0</v>
      </c>
      <c r="AZ33">
        <v>0</v>
      </c>
      <c r="BA33">
        <f t="shared" si="0"/>
        <v>0</v>
      </c>
    </row>
    <row r="34" spans="1:53" x14ac:dyDescent="0.25">
      <c r="A34">
        <v>32</v>
      </c>
      <c r="B34" t="s">
        <v>33</v>
      </c>
      <c r="C34" s="2">
        <v>16.62</v>
      </c>
      <c r="D34">
        <v>10</v>
      </c>
      <c r="E34">
        <v>69.87</v>
      </c>
      <c r="F34">
        <v>3816734</v>
      </c>
      <c r="G34">
        <v>7618</v>
      </c>
      <c r="H34">
        <v>245300</v>
      </c>
      <c r="I34">
        <v>75875</v>
      </c>
      <c r="J34">
        <v>4545</v>
      </c>
      <c r="K34">
        <v>9875</v>
      </c>
      <c r="L34">
        <v>5489</v>
      </c>
      <c r="M34">
        <v>4165436</v>
      </c>
      <c r="N34">
        <v>4266.05</v>
      </c>
      <c r="O34">
        <v>6839.14</v>
      </c>
      <c r="P34">
        <v>2411.85</v>
      </c>
      <c r="Q34">
        <v>326.82</v>
      </c>
      <c r="R34">
        <v>151.36000000000001</v>
      </c>
      <c r="S34">
        <v>56.23</v>
      </c>
      <c r="T34">
        <v>70.989999999999995</v>
      </c>
      <c r="U34">
        <v>14122.45</v>
      </c>
      <c r="V34">
        <v>6847.28</v>
      </c>
      <c r="W34">
        <v>16505.490000000002</v>
      </c>
      <c r="X34">
        <v>3880.7</v>
      </c>
      <c r="Y34">
        <v>506.18</v>
      </c>
      <c r="Z34">
        <v>173.41</v>
      </c>
      <c r="AA34">
        <v>84.19</v>
      </c>
      <c r="AB34">
        <v>399.21</v>
      </c>
      <c r="AC34">
        <v>28396.46</v>
      </c>
      <c r="AD34">
        <v>8234014.8700000001</v>
      </c>
      <c r="AE34">
        <v>17573683.5</v>
      </c>
      <c r="AF34">
        <v>4751202.2300000004</v>
      </c>
      <c r="AG34">
        <v>420489.41</v>
      </c>
      <c r="AH34">
        <v>278804.17</v>
      </c>
      <c r="AI34">
        <v>143081.76</v>
      </c>
      <c r="AJ34">
        <v>723997.07</v>
      </c>
      <c r="AK34">
        <v>32125273</v>
      </c>
      <c r="AL34">
        <v>1202.52</v>
      </c>
      <c r="AM34">
        <v>1064.72</v>
      </c>
      <c r="AN34">
        <v>1224.32</v>
      </c>
      <c r="AO34">
        <v>830.71</v>
      </c>
      <c r="AP34">
        <v>1607.77</v>
      </c>
      <c r="AQ34">
        <v>1699.51</v>
      </c>
      <c r="AR34">
        <v>1813.57</v>
      </c>
      <c r="AS34">
        <v>1131.31</v>
      </c>
      <c r="AT34">
        <v>1054</v>
      </c>
      <c r="AU34">
        <v>17078.009999999998</v>
      </c>
      <c r="AV34">
        <v>6.17</v>
      </c>
      <c r="AW34" s="23">
        <v>4645918</v>
      </c>
      <c r="AX34" s="23">
        <v>99.97</v>
      </c>
      <c r="AY34">
        <v>0</v>
      </c>
      <c r="AZ34">
        <v>0</v>
      </c>
      <c r="BA34">
        <f t="shared" si="0"/>
        <v>0</v>
      </c>
    </row>
    <row r="35" spans="1:53" x14ac:dyDescent="0.25">
      <c r="A35">
        <v>33</v>
      </c>
      <c r="B35" t="s">
        <v>34</v>
      </c>
      <c r="C35" s="1">
        <v>0.4</v>
      </c>
      <c r="D35">
        <v>1</v>
      </c>
      <c r="E35">
        <v>0.21</v>
      </c>
      <c r="F35">
        <v>4996477</v>
      </c>
      <c r="G35">
        <v>5758</v>
      </c>
      <c r="H35">
        <v>319105</v>
      </c>
      <c r="I35">
        <v>51826</v>
      </c>
      <c r="J35">
        <v>7620</v>
      </c>
      <c r="K35">
        <v>9952</v>
      </c>
      <c r="L35">
        <v>13191</v>
      </c>
      <c r="M35">
        <v>5403929</v>
      </c>
      <c r="N35">
        <v>9796.76</v>
      </c>
      <c r="O35">
        <v>1812.56</v>
      </c>
      <c r="P35">
        <v>7933.13</v>
      </c>
      <c r="Q35">
        <v>1098.8499999999999</v>
      </c>
      <c r="R35">
        <v>1033.27</v>
      </c>
      <c r="S35">
        <v>140.94</v>
      </c>
      <c r="T35">
        <v>603.63</v>
      </c>
      <c r="U35">
        <v>22419.13</v>
      </c>
      <c r="V35">
        <v>16413.87</v>
      </c>
      <c r="W35">
        <v>3915.9</v>
      </c>
      <c r="X35">
        <v>13807.54</v>
      </c>
      <c r="Y35">
        <v>1742.43</v>
      </c>
      <c r="Z35">
        <v>1452.01</v>
      </c>
      <c r="AA35">
        <v>198.1</v>
      </c>
      <c r="AB35">
        <v>668.52</v>
      </c>
      <c r="AC35">
        <v>38198.379999999997</v>
      </c>
      <c r="AD35">
        <v>24516142.170000002</v>
      </c>
      <c r="AE35">
        <v>4249693.9400000004</v>
      </c>
      <c r="AF35">
        <v>16660562.380000001</v>
      </c>
      <c r="AG35">
        <v>1596060.61</v>
      </c>
      <c r="AH35">
        <v>2305841.48</v>
      </c>
      <c r="AI35">
        <v>337264.32</v>
      </c>
      <c r="AJ35">
        <v>930846.18</v>
      </c>
      <c r="AK35">
        <v>50596411.07</v>
      </c>
      <c r="AL35">
        <v>1493.62</v>
      </c>
      <c r="AM35">
        <v>1085.24</v>
      </c>
      <c r="AN35">
        <v>1206.6300000000001</v>
      </c>
      <c r="AO35">
        <v>916</v>
      </c>
      <c r="AP35">
        <v>1588.03</v>
      </c>
      <c r="AQ35">
        <v>1702.5</v>
      </c>
      <c r="AR35">
        <v>1392.4</v>
      </c>
      <c r="AS35">
        <v>1324.57</v>
      </c>
      <c r="AT35">
        <v>1113</v>
      </c>
      <c r="AU35">
        <v>18040.63</v>
      </c>
      <c r="AV35">
        <v>6.17</v>
      </c>
      <c r="AW35" s="23">
        <v>3507091</v>
      </c>
      <c r="AX35" s="23">
        <v>100</v>
      </c>
      <c r="AY35">
        <v>0</v>
      </c>
      <c r="AZ35">
        <v>329.23</v>
      </c>
      <c r="BA35">
        <f t="shared" si="0"/>
        <v>329.23</v>
      </c>
    </row>
    <row r="36" spans="1:53" x14ac:dyDescent="0.25">
      <c r="AY36">
        <v>0</v>
      </c>
      <c r="AZ36">
        <v>0</v>
      </c>
      <c r="BA36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EEA6-23B2-4E25-B51C-C0621BC29D7F}">
  <dimension ref="A1:M34"/>
  <sheetViews>
    <sheetView tabSelected="1" workbookViewId="0">
      <selection activeCell="C2" sqref="C2"/>
    </sheetView>
  </sheetViews>
  <sheetFormatPr defaultRowHeight="15" x14ac:dyDescent="0.25"/>
  <cols>
    <col min="1" max="1" width="14.5703125" customWidth="1"/>
    <col min="2" max="2" width="26.7109375" customWidth="1"/>
    <col min="3" max="3" width="15.85546875" customWidth="1"/>
    <col min="4" max="4" width="11.5703125" customWidth="1"/>
    <col min="5" max="5" width="12.28515625" customWidth="1"/>
    <col min="6" max="6" width="11.140625" customWidth="1"/>
    <col min="7" max="7" width="13.5703125" customWidth="1"/>
    <col min="8" max="8" width="13.140625" customWidth="1"/>
    <col min="9" max="9" width="13.85546875" customWidth="1"/>
    <col min="10" max="10" width="11.42578125" customWidth="1"/>
    <col min="11" max="11" width="11.140625" customWidth="1"/>
    <col min="12" max="12" width="10.85546875" customWidth="1"/>
    <col min="13" max="13" width="15" customWidth="1"/>
  </cols>
  <sheetData>
    <row r="1" spans="1:13" ht="60" x14ac:dyDescent="0.25">
      <c r="A1" t="s">
        <v>0</v>
      </c>
      <c r="B1" s="28" t="s">
        <v>1</v>
      </c>
      <c r="C1" s="5" t="s">
        <v>35</v>
      </c>
      <c r="D1" s="5" t="s">
        <v>53</v>
      </c>
      <c r="E1" s="5" t="s">
        <v>79</v>
      </c>
      <c r="F1" s="5" t="s">
        <v>83</v>
      </c>
      <c r="G1" s="5" t="s">
        <v>80</v>
      </c>
      <c r="H1" s="5" t="s">
        <v>77</v>
      </c>
      <c r="I1" s="5" t="s">
        <v>46</v>
      </c>
      <c r="J1" s="5" t="s">
        <v>36</v>
      </c>
      <c r="K1" s="5" t="s">
        <v>37</v>
      </c>
      <c r="L1" s="5" t="s">
        <v>143</v>
      </c>
      <c r="M1" s="6" t="s">
        <v>69</v>
      </c>
    </row>
    <row r="2" spans="1:13" x14ac:dyDescent="0.25">
      <c r="A2">
        <v>1</v>
      </c>
      <c r="B2" s="7" t="s">
        <v>2</v>
      </c>
      <c r="C2" s="18">
        <v>179.49</v>
      </c>
      <c r="D2">
        <v>2323.4299999999998</v>
      </c>
      <c r="E2">
        <v>14607</v>
      </c>
      <c r="F2" s="23">
        <v>99.98</v>
      </c>
      <c r="G2">
        <v>34.130000000000003</v>
      </c>
      <c r="H2">
        <v>1029.3599999999999</v>
      </c>
      <c r="I2">
        <v>1791668</v>
      </c>
      <c r="J2" s="10">
        <v>206</v>
      </c>
      <c r="K2" s="11">
        <v>270.86</v>
      </c>
      <c r="L2">
        <v>3696.14</v>
      </c>
      <c r="M2">
        <v>3804657.51</v>
      </c>
    </row>
    <row r="3" spans="1:13" x14ac:dyDescent="0.25">
      <c r="A3">
        <v>2</v>
      </c>
      <c r="B3" s="23" t="s">
        <v>3</v>
      </c>
      <c r="C3" s="8">
        <v>210.06</v>
      </c>
      <c r="D3">
        <v>7868.06</v>
      </c>
      <c r="E3">
        <v>30425.95</v>
      </c>
      <c r="F3" s="23">
        <v>99.81</v>
      </c>
      <c r="G3">
        <v>4.13</v>
      </c>
      <c r="H3">
        <v>1156.74</v>
      </c>
      <c r="I3">
        <v>4633553</v>
      </c>
      <c r="J3" s="9">
        <v>56</v>
      </c>
      <c r="K3" s="13">
        <v>1280.6500000000001</v>
      </c>
      <c r="L3">
        <v>13234.26</v>
      </c>
      <c r="M3">
        <v>15308573.08</v>
      </c>
    </row>
    <row r="4" spans="1:13" x14ac:dyDescent="0.25">
      <c r="A4">
        <v>3</v>
      </c>
      <c r="B4" s="26" t="s">
        <v>4</v>
      </c>
      <c r="C4" s="19">
        <v>91.63</v>
      </c>
      <c r="D4">
        <v>2569.11</v>
      </c>
      <c r="E4">
        <v>11518.76</v>
      </c>
      <c r="F4" s="23">
        <v>98.88</v>
      </c>
      <c r="G4">
        <v>11.16</v>
      </c>
      <c r="H4">
        <v>1119.24</v>
      </c>
      <c r="I4">
        <v>1761911</v>
      </c>
      <c r="J4" s="14">
        <v>102</v>
      </c>
      <c r="K4" s="15">
        <v>376.26</v>
      </c>
      <c r="L4">
        <v>3955.88</v>
      </c>
      <c r="M4">
        <v>4427572.32</v>
      </c>
    </row>
    <row r="5" spans="1:13" x14ac:dyDescent="0.25">
      <c r="A5">
        <v>4</v>
      </c>
      <c r="B5" t="s">
        <v>5</v>
      </c>
      <c r="C5">
        <v>486.37</v>
      </c>
      <c r="D5">
        <v>4509.1499999999996</v>
      </c>
      <c r="E5">
        <v>16019.05</v>
      </c>
      <c r="F5" s="23">
        <v>95.19</v>
      </c>
      <c r="G5">
        <v>0.67</v>
      </c>
      <c r="H5">
        <v>987.85</v>
      </c>
      <c r="I5">
        <v>2283877</v>
      </c>
      <c r="J5">
        <v>274</v>
      </c>
      <c r="K5" s="10">
        <v>2890.46</v>
      </c>
      <c r="L5">
        <v>8815.68</v>
      </c>
      <c r="M5">
        <v>8708564.1699999999</v>
      </c>
    </row>
    <row r="6" spans="1:13" x14ac:dyDescent="0.25">
      <c r="A6">
        <v>5</v>
      </c>
      <c r="B6" t="s">
        <v>6</v>
      </c>
      <c r="C6">
        <v>166.34</v>
      </c>
      <c r="D6">
        <v>761.35</v>
      </c>
      <c r="E6">
        <v>2573.75</v>
      </c>
      <c r="F6" s="23">
        <v>99.49</v>
      </c>
      <c r="G6">
        <v>0.08</v>
      </c>
      <c r="H6">
        <v>1320.95</v>
      </c>
      <c r="I6">
        <v>349987</v>
      </c>
      <c r="J6">
        <v>332</v>
      </c>
      <c r="K6">
        <v>396.02</v>
      </c>
      <c r="L6">
        <v>1076.07</v>
      </c>
      <c r="M6">
        <v>1421430.05</v>
      </c>
    </row>
    <row r="7" spans="1:13" x14ac:dyDescent="0.25">
      <c r="A7">
        <v>6</v>
      </c>
      <c r="B7" t="s">
        <v>7</v>
      </c>
      <c r="C7">
        <v>127.42</v>
      </c>
      <c r="D7">
        <v>4032.51</v>
      </c>
      <c r="E7">
        <v>16177.51</v>
      </c>
      <c r="F7" s="23">
        <v>98.1</v>
      </c>
      <c r="G7">
        <v>8.17</v>
      </c>
      <c r="H7">
        <v>1176.19</v>
      </c>
      <c r="I7">
        <v>2605094</v>
      </c>
      <c r="J7">
        <v>60</v>
      </c>
      <c r="K7">
        <v>571.72</v>
      </c>
      <c r="L7">
        <v>6513.57</v>
      </c>
      <c r="M7">
        <v>7661198.9199999999</v>
      </c>
    </row>
    <row r="8" spans="1:13" x14ac:dyDescent="0.25">
      <c r="A8">
        <v>7</v>
      </c>
      <c r="B8" t="s">
        <v>8</v>
      </c>
      <c r="C8">
        <v>38.369999999999997</v>
      </c>
      <c r="D8">
        <v>1889.14</v>
      </c>
      <c r="E8">
        <v>9786.82</v>
      </c>
      <c r="F8" s="23">
        <v>95.83</v>
      </c>
      <c r="G8">
        <v>5.89</v>
      </c>
      <c r="H8">
        <v>1247.6300000000001</v>
      </c>
      <c r="I8">
        <v>1208612</v>
      </c>
      <c r="J8">
        <v>34</v>
      </c>
      <c r="K8">
        <v>117.63</v>
      </c>
      <c r="L8">
        <v>2522.44</v>
      </c>
      <c r="M8">
        <v>3147082.18</v>
      </c>
    </row>
    <row r="9" spans="1:13" x14ac:dyDescent="0.25">
      <c r="A9">
        <v>8</v>
      </c>
      <c r="B9" t="s">
        <v>9</v>
      </c>
      <c r="C9">
        <v>65.08</v>
      </c>
      <c r="D9">
        <v>853.99</v>
      </c>
      <c r="E9">
        <v>4881.8999999999996</v>
      </c>
      <c r="F9" s="23">
        <v>99.06</v>
      </c>
      <c r="G9">
        <v>4.42</v>
      </c>
      <c r="H9">
        <v>1124.48</v>
      </c>
      <c r="I9">
        <v>684557</v>
      </c>
      <c r="J9">
        <v>47</v>
      </c>
      <c r="K9">
        <v>244</v>
      </c>
      <c r="L9">
        <v>1230.1099999999999</v>
      </c>
      <c r="M9">
        <v>1383238.52</v>
      </c>
    </row>
    <row r="10" spans="1:13" x14ac:dyDescent="0.25">
      <c r="A10">
        <v>9</v>
      </c>
      <c r="B10" s="24" t="s">
        <v>10</v>
      </c>
      <c r="C10" s="20">
        <v>370.75</v>
      </c>
      <c r="D10">
        <v>1213.18</v>
      </c>
      <c r="E10">
        <v>6173.74</v>
      </c>
      <c r="F10" s="23">
        <v>99.99</v>
      </c>
      <c r="G10">
        <v>22.13</v>
      </c>
      <c r="H10">
        <v>1277.26</v>
      </c>
      <c r="I10">
        <v>579717</v>
      </c>
      <c r="J10">
        <v>113</v>
      </c>
      <c r="K10">
        <v>1347.42</v>
      </c>
      <c r="L10">
        <v>1593.5</v>
      </c>
      <c r="M10">
        <v>2035309.28</v>
      </c>
    </row>
    <row r="11" spans="1:13" x14ac:dyDescent="0.25">
      <c r="A11">
        <v>10</v>
      </c>
      <c r="B11" s="25" t="s">
        <v>11</v>
      </c>
      <c r="C11" s="21">
        <v>53.28</v>
      </c>
      <c r="D11">
        <v>3913.34</v>
      </c>
      <c r="E11">
        <v>15019</v>
      </c>
      <c r="F11" s="23">
        <v>99.79</v>
      </c>
      <c r="G11">
        <v>9.5500000000000007</v>
      </c>
      <c r="H11">
        <v>1080.4100000000001</v>
      </c>
      <c r="I11">
        <v>2740560</v>
      </c>
      <c r="J11">
        <v>46</v>
      </c>
      <c r="K11">
        <v>120.48</v>
      </c>
      <c r="L11">
        <v>5991.85</v>
      </c>
      <c r="M11">
        <v>6473682.54</v>
      </c>
    </row>
    <row r="12" spans="1:13" x14ac:dyDescent="0.25">
      <c r="A12">
        <v>11</v>
      </c>
      <c r="B12" s="22" t="s">
        <v>12</v>
      </c>
      <c r="C12" s="17">
        <v>106.51</v>
      </c>
      <c r="D12">
        <v>2493.2800000000002</v>
      </c>
      <c r="E12">
        <v>16051.12</v>
      </c>
      <c r="F12" s="23">
        <v>94.3</v>
      </c>
      <c r="G12">
        <v>20.3</v>
      </c>
      <c r="H12">
        <v>1170.98</v>
      </c>
      <c r="I12">
        <v>1617468</v>
      </c>
      <c r="J12">
        <v>202</v>
      </c>
      <c r="K12">
        <v>231.6</v>
      </c>
      <c r="L12">
        <v>3559.87</v>
      </c>
      <c r="M12">
        <v>4168553.3</v>
      </c>
    </row>
    <row r="13" spans="1:13" x14ac:dyDescent="0.25">
      <c r="A13">
        <v>12</v>
      </c>
      <c r="B13" t="s">
        <v>13</v>
      </c>
      <c r="C13">
        <v>16.38</v>
      </c>
      <c r="D13">
        <v>2415.88</v>
      </c>
      <c r="E13">
        <v>9909.82</v>
      </c>
      <c r="F13" s="23">
        <v>99.22</v>
      </c>
      <c r="G13">
        <v>12.25</v>
      </c>
      <c r="H13">
        <v>1141.93</v>
      </c>
      <c r="I13">
        <v>1537723</v>
      </c>
      <c r="J13">
        <v>91</v>
      </c>
      <c r="K13">
        <v>21.37</v>
      </c>
      <c r="L13">
        <v>3972.16</v>
      </c>
      <c r="M13">
        <v>4535925.34</v>
      </c>
    </row>
    <row r="14" spans="1:13" x14ac:dyDescent="0.25">
      <c r="A14">
        <v>13</v>
      </c>
      <c r="B14" t="s">
        <v>14</v>
      </c>
      <c r="C14">
        <v>58.17</v>
      </c>
      <c r="D14">
        <v>1341.08</v>
      </c>
      <c r="E14">
        <v>9715.9</v>
      </c>
      <c r="F14" s="23">
        <v>94.58</v>
      </c>
      <c r="G14">
        <v>11.31</v>
      </c>
      <c r="H14">
        <v>1212.96</v>
      </c>
      <c r="I14">
        <v>876780</v>
      </c>
      <c r="J14">
        <v>272</v>
      </c>
      <c r="K14">
        <v>91.03</v>
      </c>
      <c r="L14">
        <v>1978.76</v>
      </c>
      <c r="M14">
        <v>2400165.2999999998</v>
      </c>
    </row>
    <row r="15" spans="1:13" x14ac:dyDescent="0.25">
      <c r="A15">
        <v>14</v>
      </c>
      <c r="B15" t="s">
        <v>15</v>
      </c>
      <c r="C15">
        <v>131.75</v>
      </c>
      <c r="D15">
        <v>3652.09</v>
      </c>
      <c r="E15">
        <v>12187.87</v>
      </c>
      <c r="F15" s="23">
        <v>95.66</v>
      </c>
      <c r="G15">
        <v>27.96</v>
      </c>
      <c r="H15">
        <v>1265.5</v>
      </c>
      <c r="I15">
        <v>1588600</v>
      </c>
      <c r="J15">
        <v>217</v>
      </c>
      <c r="K15">
        <v>213.83</v>
      </c>
      <c r="L15">
        <v>6214.99</v>
      </c>
      <c r="M15">
        <v>7865074.3600000003</v>
      </c>
    </row>
    <row r="16" spans="1:13" x14ac:dyDescent="0.25">
      <c r="A16">
        <v>15</v>
      </c>
      <c r="B16" t="s">
        <v>16</v>
      </c>
      <c r="C16">
        <v>75.510000000000005</v>
      </c>
      <c r="D16">
        <v>1466.13</v>
      </c>
      <c r="E16">
        <v>5965.29</v>
      </c>
      <c r="F16" s="23">
        <v>99.39</v>
      </c>
      <c r="G16">
        <v>2.5099999999999998</v>
      </c>
      <c r="H16">
        <v>1158.6500000000001</v>
      </c>
      <c r="I16">
        <v>843912</v>
      </c>
      <c r="J16">
        <v>205</v>
      </c>
      <c r="K16">
        <v>143.94999999999999</v>
      </c>
      <c r="L16">
        <v>2164.19</v>
      </c>
      <c r="M16">
        <v>2507542.2200000002</v>
      </c>
    </row>
    <row r="17" spans="1:13" x14ac:dyDescent="0.25">
      <c r="A17">
        <v>16</v>
      </c>
      <c r="B17" t="s">
        <v>17</v>
      </c>
      <c r="C17">
        <v>251.71</v>
      </c>
      <c r="D17">
        <v>1341.2</v>
      </c>
      <c r="E17">
        <v>8612.59</v>
      </c>
      <c r="F17" s="23">
        <v>98.94</v>
      </c>
      <c r="G17">
        <v>0.89</v>
      </c>
      <c r="H17">
        <v>1159.04</v>
      </c>
      <c r="I17">
        <v>1003976</v>
      </c>
      <c r="J17">
        <v>344</v>
      </c>
      <c r="K17">
        <v>874.11</v>
      </c>
      <c r="L17">
        <v>1804.62</v>
      </c>
      <c r="M17">
        <v>2091629.72</v>
      </c>
    </row>
    <row r="18" spans="1:13" x14ac:dyDescent="0.25">
      <c r="A18">
        <v>17</v>
      </c>
      <c r="B18" t="s">
        <v>18</v>
      </c>
      <c r="C18">
        <v>21.18</v>
      </c>
      <c r="D18">
        <v>521.04999999999995</v>
      </c>
      <c r="E18">
        <v>2582.33</v>
      </c>
      <c r="F18" s="23">
        <v>99.55</v>
      </c>
      <c r="G18">
        <v>1.1599999999999999</v>
      </c>
      <c r="H18">
        <v>1102.01</v>
      </c>
      <c r="I18">
        <v>367419</v>
      </c>
      <c r="J18">
        <v>12</v>
      </c>
      <c r="K18">
        <v>41.77</v>
      </c>
      <c r="L18">
        <v>770.93</v>
      </c>
      <c r="M18">
        <v>849574.91</v>
      </c>
    </row>
    <row r="19" spans="1:13" x14ac:dyDescent="0.25">
      <c r="A19">
        <v>18</v>
      </c>
      <c r="B19" t="s">
        <v>19</v>
      </c>
      <c r="C19">
        <v>116</v>
      </c>
      <c r="D19">
        <v>5256.51</v>
      </c>
      <c r="E19">
        <v>17332.82</v>
      </c>
      <c r="F19" s="23">
        <v>97.03</v>
      </c>
      <c r="G19">
        <v>22.51</v>
      </c>
      <c r="H19">
        <v>1143</v>
      </c>
      <c r="I19">
        <v>2883027</v>
      </c>
      <c r="J19">
        <v>99</v>
      </c>
      <c r="K19">
        <v>426.23</v>
      </c>
      <c r="L19">
        <v>8732.5499999999993</v>
      </c>
      <c r="M19">
        <v>9981275.8000000007</v>
      </c>
    </row>
    <row r="20" spans="1:13" x14ac:dyDescent="0.25">
      <c r="A20">
        <v>19</v>
      </c>
      <c r="B20" t="s">
        <v>20</v>
      </c>
      <c r="C20">
        <v>36.89</v>
      </c>
      <c r="D20">
        <v>1532.71</v>
      </c>
      <c r="E20">
        <v>7392</v>
      </c>
      <c r="F20" s="23">
        <v>93.2</v>
      </c>
      <c r="G20">
        <v>18.670000000000002</v>
      </c>
      <c r="H20">
        <v>1196.32</v>
      </c>
      <c r="I20">
        <v>838456</v>
      </c>
      <c r="J20">
        <v>93</v>
      </c>
      <c r="K20">
        <v>116.02</v>
      </c>
      <c r="L20">
        <v>1614.48</v>
      </c>
      <c r="M20">
        <v>1931432.17</v>
      </c>
    </row>
    <row r="21" spans="1:13" x14ac:dyDescent="0.25">
      <c r="A21">
        <v>20</v>
      </c>
      <c r="B21" t="s">
        <v>21</v>
      </c>
      <c r="C21">
        <v>1.77</v>
      </c>
      <c r="D21">
        <v>527.02</v>
      </c>
      <c r="E21">
        <v>3988.42</v>
      </c>
      <c r="F21" s="23">
        <v>90.66</v>
      </c>
      <c r="G21">
        <v>4.91</v>
      </c>
      <c r="H21">
        <v>1194.3</v>
      </c>
      <c r="I21">
        <v>378035</v>
      </c>
      <c r="J21">
        <v>4</v>
      </c>
      <c r="K21">
        <v>0.01</v>
      </c>
      <c r="L21">
        <v>570.49</v>
      </c>
      <c r="M21">
        <v>681334.98</v>
      </c>
    </row>
    <row r="22" spans="1:13" x14ac:dyDescent="0.25">
      <c r="A22">
        <v>21</v>
      </c>
      <c r="B22" t="s">
        <v>22</v>
      </c>
      <c r="C22">
        <v>419.53</v>
      </c>
      <c r="D22">
        <v>534.11</v>
      </c>
      <c r="E22">
        <v>4799.47</v>
      </c>
      <c r="F22" s="23">
        <v>97.49</v>
      </c>
      <c r="G22">
        <v>11.71</v>
      </c>
      <c r="H22">
        <v>1270.5999999999999</v>
      </c>
      <c r="I22">
        <v>344880</v>
      </c>
      <c r="J22">
        <v>371</v>
      </c>
      <c r="K22">
        <v>1224.46</v>
      </c>
      <c r="L22">
        <v>670.1</v>
      </c>
      <c r="M22">
        <v>851428.58</v>
      </c>
    </row>
    <row r="23" spans="1:13" x14ac:dyDescent="0.25">
      <c r="A23">
        <v>22</v>
      </c>
      <c r="B23" t="s">
        <v>23</v>
      </c>
      <c r="C23">
        <v>180.94</v>
      </c>
      <c r="D23">
        <v>743.76</v>
      </c>
      <c r="E23">
        <v>3849.17</v>
      </c>
      <c r="F23" s="23">
        <v>88.92</v>
      </c>
      <c r="G23">
        <v>5.07</v>
      </c>
      <c r="H23">
        <v>1052.1500000000001</v>
      </c>
      <c r="I23">
        <v>496058</v>
      </c>
      <c r="J23">
        <v>457</v>
      </c>
      <c r="K23">
        <v>432.54</v>
      </c>
      <c r="L23">
        <v>1356.62</v>
      </c>
      <c r="M23">
        <v>1427372.23</v>
      </c>
    </row>
    <row r="24" spans="1:13" x14ac:dyDescent="0.25">
      <c r="A24">
        <v>23</v>
      </c>
      <c r="B24" t="s">
        <v>24</v>
      </c>
      <c r="C24">
        <v>203.13</v>
      </c>
      <c r="D24">
        <v>1174.03</v>
      </c>
      <c r="E24">
        <v>5419.76</v>
      </c>
      <c r="F24" s="23">
        <v>90.16</v>
      </c>
      <c r="G24">
        <v>0.2</v>
      </c>
      <c r="H24">
        <v>1342</v>
      </c>
      <c r="I24">
        <v>582922</v>
      </c>
      <c r="J24">
        <v>464</v>
      </c>
      <c r="K24">
        <v>613.52</v>
      </c>
      <c r="L24">
        <v>1435.89</v>
      </c>
      <c r="M24">
        <v>1926959.37</v>
      </c>
    </row>
    <row r="25" spans="1:13" x14ac:dyDescent="0.25">
      <c r="A25">
        <v>24</v>
      </c>
      <c r="B25" t="s">
        <v>25</v>
      </c>
      <c r="C25">
        <v>480.15</v>
      </c>
      <c r="D25">
        <v>602.29999999999995</v>
      </c>
      <c r="E25">
        <v>3064.73</v>
      </c>
      <c r="F25" s="23">
        <v>89.65</v>
      </c>
      <c r="G25">
        <v>0.2</v>
      </c>
      <c r="H25">
        <v>1329.45</v>
      </c>
      <c r="I25">
        <v>302167</v>
      </c>
      <c r="J25">
        <v>397</v>
      </c>
      <c r="K25">
        <v>1805.8</v>
      </c>
      <c r="L25">
        <v>720.64</v>
      </c>
      <c r="M25">
        <v>958057.95</v>
      </c>
    </row>
    <row r="26" spans="1:13" x14ac:dyDescent="0.25">
      <c r="A26">
        <v>25</v>
      </c>
      <c r="B26" t="s">
        <v>26</v>
      </c>
      <c r="C26">
        <v>6.8</v>
      </c>
      <c r="D26">
        <v>4965.1000000000004</v>
      </c>
      <c r="E26">
        <v>8947.6299999999992</v>
      </c>
      <c r="F26" s="23">
        <v>100</v>
      </c>
      <c r="G26">
        <v>1.72</v>
      </c>
      <c r="H26">
        <v>1341.67</v>
      </c>
      <c r="I26">
        <v>1796683</v>
      </c>
      <c r="J26">
        <v>8</v>
      </c>
      <c r="K26">
        <v>13.29</v>
      </c>
      <c r="L26">
        <v>7301.36</v>
      </c>
      <c r="M26">
        <v>9796048.9700000007</v>
      </c>
    </row>
    <row r="27" spans="1:13" x14ac:dyDescent="0.25">
      <c r="A27">
        <v>26</v>
      </c>
      <c r="B27" t="s">
        <v>27</v>
      </c>
      <c r="C27">
        <v>751.98</v>
      </c>
      <c r="D27">
        <v>2306.98</v>
      </c>
      <c r="E27">
        <v>7269</v>
      </c>
      <c r="F27" s="23">
        <v>99.77</v>
      </c>
      <c r="G27">
        <v>12.99</v>
      </c>
      <c r="H27">
        <v>1011.67</v>
      </c>
      <c r="I27">
        <v>2005554</v>
      </c>
      <c r="J27">
        <v>179</v>
      </c>
      <c r="K27">
        <v>3274.09</v>
      </c>
      <c r="L27">
        <v>2853.13</v>
      </c>
      <c r="M27">
        <v>2886440.2</v>
      </c>
    </row>
    <row r="28" spans="1:13" x14ac:dyDescent="0.25">
      <c r="A28">
        <v>27</v>
      </c>
      <c r="B28" t="s">
        <v>28</v>
      </c>
      <c r="C28">
        <v>627.85</v>
      </c>
      <c r="D28">
        <v>1715.95</v>
      </c>
      <c r="E28">
        <v>13694.02</v>
      </c>
      <c r="F28" s="23">
        <v>89.01</v>
      </c>
      <c r="G28">
        <v>3.97</v>
      </c>
      <c r="H28">
        <v>1231.47</v>
      </c>
      <c r="I28">
        <v>1285297</v>
      </c>
      <c r="J28">
        <v>507</v>
      </c>
      <c r="K28">
        <v>1691.88</v>
      </c>
      <c r="L28">
        <v>1454.14</v>
      </c>
      <c r="M28">
        <v>1790734.9</v>
      </c>
    </row>
    <row r="29" spans="1:13" x14ac:dyDescent="0.25">
      <c r="A29">
        <v>28</v>
      </c>
      <c r="B29" t="s">
        <v>29</v>
      </c>
      <c r="C29">
        <v>81</v>
      </c>
      <c r="D29">
        <v>26406.59</v>
      </c>
      <c r="E29">
        <v>42639.23</v>
      </c>
      <c r="F29" s="23">
        <v>99.56</v>
      </c>
      <c r="G29">
        <v>0.28999999999999998</v>
      </c>
      <c r="H29">
        <v>1096.1099999999999</v>
      </c>
      <c r="I29">
        <v>14202136</v>
      </c>
      <c r="J29">
        <v>119</v>
      </c>
      <c r="K29">
        <v>214.21</v>
      </c>
      <c r="L29">
        <v>44311.839999999997</v>
      </c>
      <c r="M29">
        <v>48570576.240000002</v>
      </c>
    </row>
    <row r="30" spans="1:13" x14ac:dyDescent="0.25">
      <c r="A30">
        <v>29</v>
      </c>
      <c r="B30" t="s">
        <v>30</v>
      </c>
      <c r="C30">
        <v>44.24</v>
      </c>
      <c r="D30">
        <v>18233.88</v>
      </c>
      <c r="E30">
        <v>49787.31</v>
      </c>
      <c r="F30" s="23">
        <v>99.99</v>
      </c>
      <c r="G30">
        <v>0.4</v>
      </c>
      <c r="H30">
        <v>1055.51</v>
      </c>
      <c r="I30">
        <v>12227038</v>
      </c>
      <c r="J30">
        <v>36</v>
      </c>
      <c r="K30">
        <v>144.75</v>
      </c>
      <c r="L30">
        <v>30391.43</v>
      </c>
      <c r="M30">
        <v>32078351.530000001</v>
      </c>
    </row>
    <row r="31" spans="1:13" x14ac:dyDescent="0.25">
      <c r="A31">
        <v>30</v>
      </c>
      <c r="B31" t="s">
        <v>31</v>
      </c>
      <c r="C31">
        <v>0.78</v>
      </c>
      <c r="D31">
        <v>2622.11</v>
      </c>
      <c r="E31">
        <v>5933.33</v>
      </c>
      <c r="F31" s="23">
        <v>99.67</v>
      </c>
      <c r="G31">
        <v>0.42</v>
      </c>
      <c r="H31">
        <v>1176.3</v>
      </c>
      <c r="I31">
        <v>1544194</v>
      </c>
      <c r="J31">
        <v>2</v>
      </c>
      <c r="K31">
        <v>3.64</v>
      </c>
      <c r="L31">
        <v>3891.18</v>
      </c>
      <c r="M31">
        <v>4577192.09</v>
      </c>
    </row>
    <row r="32" spans="1:13" x14ac:dyDescent="0.25">
      <c r="A32">
        <v>31</v>
      </c>
      <c r="B32" t="s">
        <v>32</v>
      </c>
      <c r="C32" s="1">
        <v>149.79</v>
      </c>
      <c r="D32">
        <v>33690.120000000003</v>
      </c>
      <c r="E32">
        <v>51452.15</v>
      </c>
      <c r="F32" s="23">
        <v>99.99</v>
      </c>
      <c r="G32">
        <v>0.23</v>
      </c>
      <c r="H32">
        <v>1119.01</v>
      </c>
      <c r="I32">
        <v>17563127</v>
      </c>
      <c r="J32">
        <v>28</v>
      </c>
      <c r="K32">
        <v>571.52</v>
      </c>
      <c r="L32">
        <v>61637.47</v>
      </c>
      <c r="M32">
        <v>68973100.430000007</v>
      </c>
    </row>
    <row r="33" spans="1:13" x14ac:dyDescent="0.25">
      <c r="A33">
        <v>32</v>
      </c>
      <c r="B33" t="s">
        <v>33</v>
      </c>
      <c r="C33" s="2">
        <v>16.62</v>
      </c>
      <c r="D33">
        <v>14122.45</v>
      </c>
      <c r="E33">
        <v>17078.009999999998</v>
      </c>
      <c r="F33" s="23">
        <v>99.97</v>
      </c>
      <c r="G33">
        <v>6.17</v>
      </c>
      <c r="H33">
        <v>1131.31</v>
      </c>
      <c r="I33">
        <v>4165436</v>
      </c>
      <c r="J33">
        <v>10</v>
      </c>
      <c r="K33">
        <v>69.87</v>
      </c>
      <c r="L33">
        <v>28396.46</v>
      </c>
      <c r="M33">
        <v>32125273</v>
      </c>
    </row>
    <row r="34" spans="1:13" x14ac:dyDescent="0.25">
      <c r="A34">
        <v>33</v>
      </c>
      <c r="B34" t="s">
        <v>34</v>
      </c>
      <c r="C34" s="1">
        <v>0.4</v>
      </c>
      <c r="D34">
        <v>22419.13</v>
      </c>
      <c r="E34">
        <v>18040.63</v>
      </c>
      <c r="F34" s="23">
        <v>100</v>
      </c>
      <c r="G34">
        <v>6.17</v>
      </c>
      <c r="H34">
        <v>1324.57</v>
      </c>
      <c r="I34">
        <v>5403929</v>
      </c>
      <c r="J34">
        <v>1</v>
      </c>
      <c r="K34">
        <v>0.21</v>
      </c>
      <c r="L34">
        <v>38198.379999999997</v>
      </c>
      <c r="M34">
        <v>50596411.07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77E2-DE37-4B2E-91D3-4E33B889296B}">
  <dimension ref="A2:O35"/>
  <sheetViews>
    <sheetView workbookViewId="0">
      <selection activeCell="A49" sqref="A49"/>
    </sheetView>
  </sheetViews>
  <sheetFormatPr defaultRowHeight="15" x14ac:dyDescent="0.25"/>
  <cols>
    <col min="1" max="1" width="35.85546875" customWidth="1"/>
    <col min="2" max="2" width="16" customWidth="1"/>
    <col min="3" max="3" width="12.5703125" customWidth="1"/>
    <col min="4" max="4" width="29" customWidth="1"/>
    <col min="11" max="11" width="10.7109375" customWidth="1"/>
    <col min="12" max="12" width="10.28515625" customWidth="1"/>
    <col min="13" max="13" width="12.140625" customWidth="1"/>
    <col min="14" max="14" width="11.140625" customWidth="1"/>
    <col min="15" max="15" width="9.5703125" customWidth="1"/>
  </cols>
  <sheetData>
    <row r="2" spans="1:15" ht="45" x14ac:dyDescent="0.25">
      <c r="A2" s="29" t="s">
        <v>122</v>
      </c>
      <c r="B2" s="29" t="s">
        <v>81</v>
      </c>
      <c r="C2" s="29" t="s">
        <v>82</v>
      </c>
      <c r="D2" s="29" t="s">
        <v>83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25">
      <c r="A3" s="4" t="s">
        <v>2</v>
      </c>
      <c r="B3" s="31">
        <v>1535.11</v>
      </c>
      <c r="C3" s="32">
        <v>1534855</v>
      </c>
      <c r="D3" s="4">
        <v>99.98</v>
      </c>
      <c r="E3" s="4"/>
      <c r="F3" s="4"/>
      <c r="G3" s="31"/>
      <c r="H3" s="4"/>
      <c r="I3" s="31"/>
      <c r="J3" s="4"/>
      <c r="K3" s="31"/>
      <c r="L3" s="4"/>
      <c r="M3" s="4"/>
      <c r="N3" s="31"/>
      <c r="O3" s="30"/>
    </row>
    <row r="4" spans="1:15" x14ac:dyDescent="0.25">
      <c r="A4" s="4" t="s">
        <v>3</v>
      </c>
      <c r="B4" s="31">
        <v>4341.0600000000004</v>
      </c>
      <c r="C4" s="32">
        <v>4332947</v>
      </c>
      <c r="D4" s="4">
        <v>99.81</v>
      </c>
      <c r="E4" s="4"/>
      <c r="F4" s="4"/>
      <c r="G4" s="31"/>
      <c r="H4" s="4"/>
      <c r="I4" s="4"/>
      <c r="J4" s="4"/>
      <c r="K4" s="31"/>
      <c r="L4" s="4"/>
      <c r="M4" s="4"/>
      <c r="N4" s="31"/>
      <c r="O4" s="30"/>
    </row>
    <row r="5" spans="1:15" x14ac:dyDescent="0.25">
      <c r="A5" s="4" t="s">
        <v>4</v>
      </c>
      <c r="B5" s="31">
        <v>1509.9</v>
      </c>
      <c r="C5" s="32">
        <v>1493000</v>
      </c>
      <c r="D5" s="4">
        <v>98.88</v>
      </c>
      <c r="E5" s="4"/>
      <c r="F5" s="4"/>
      <c r="G5" s="31"/>
      <c r="H5" s="4"/>
      <c r="I5" s="31"/>
      <c r="J5" s="4"/>
      <c r="K5" s="31"/>
      <c r="L5" s="4"/>
      <c r="M5" s="4"/>
      <c r="N5" s="31"/>
      <c r="O5" s="30"/>
    </row>
    <row r="6" spans="1:15" x14ac:dyDescent="0.25">
      <c r="A6" s="4" t="s">
        <v>123</v>
      </c>
      <c r="B6" s="31">
        <v>2135.6999999999998</v>
      </c>
      <c r="C6" s="32">
        <v>2032898</v>
      </c>
      <c r="D6" s="4">
        <v>95.19</v>
      </c>
      <c r="E6" s="4"/>
      <c r="F6" s="4"/>
      <c r="G6" s="31"/>
      <c r="H6" s="4"/>
      <c r="I6" s="31"/>
      <c r="J6" s="4"/>
      <c r="K6" s="31"/>
      <c r="L6" s="4"/>
      <c r="M6" s="4"/>
      <c r="N6" s="31"/>
      <c r="O6" s="30"/>
    </row>
    <row r="7" spans="1:15" x14ac:dyDescent="0.25">
      <c r="A7" s="4" t="s">
        <v>124</v>
      </c>
      <c r="B7" s="4">
        <v>630.76</v>
      </c>
      <c r="C7" s="32">
        <v>627564</v>
      </c>
      <c r="D7" s="4">
        <v>99.49</v>
      </c>
      <c r="E7" s="4"/>
      <c r="F7" s="4"/>
      <c r="G7" s="4"/>
      <c r="H7" s="4"/>
      <c r="I7" s="4"/>
      <c r="J7" s="4"/>
      <c r="K7" s="4"/>
      <c r="L7" s="4"/>
      <c r="M7" s="4"/>
      <c r="N7" s="31"/>
      <c r="O7" s="30"/>
    </row>
    <row r="8" spans="1:15" x14ac:dyDescent="0.25">
      <c r="A8" s="4" t="s">
        <v>125</v>
      </c>
      <c r="B8" s="31">
        <v>2528.2399999999998</v>
      </c>
      <c r="C8" s="32">
        <v>2480300</v>
      </c>
      <c r="D8" s="4">
        <v>98.1</v>
      </c>
      <c r="E8" s="4"/>
      <c r="F8" s="4"/>
      <c r="G8" s="31"/>
      <c r="H8" s="4"/>
      <c r="I8" s="31"/>
      <c r="J8" s="4"/>
      <c r="K8" s="31"/>
      <c r="L8" s="4"/>
      <c r="M8" s="4"/>
      <c r="N8" s="31"/>
      <c r="O8" s="30"/>
    </row>
    <row r="9" spans="1:15" x14ac:dyDescent="0.25">
      <c r="A9" s="4" t="s">
        <v>126</v>
      </c>
      <c r="B9" s="31">
        <v>1145.3</v>
      </c>
      <c r="C9" s="32">
        <v>1097570</v>
      </c>
      <c r="D9" s="4">
        <v>95.83</v>
      </c>
      <c r="E9" s="4"/>
      <c r="F9" s="4"/>
      <c r="G9" s="31"/>
      <c r="H9" s="4"/>
      <c r="I9" s="31"/>
      <c r="J9" s="4"/>
      <c r="K9" s="31"/>
      <c r="L9" s="31"/>
      <c r="M9" s="31"/>
      <c r="N9" s="31"/>
      <c r="O9" s="30"/>
    </row>
    <row r="10" spans="1:15" x14ac:dyDescent="0.25">
      <c r="A10" s="4" t="s">
        <v>127</v>
      </c>
      <c r="B10" s="4">
        <v>649.82000000000005</v>
      </c>
      <c r="C10" s="32">
        <v>643716</v>
      </c>
      <c r="D10" s="4">
        <v>99.06</v>
      </c>
      <c r="E10" s="4"/>
      <c r="F10" s="4"/>
      <c r="G10" s="4"/>
      <c r="H10" s="4"/>
      <c r="I10" s="4"/>
      <c r="J10" s="4"/>
      <c r="K10" s="4"/>
      <c r="L10" s="4"/>
      <c r="M10" s="4"/>
      <c r="N10" s="31"/>
      <c r="O10" s="30"/>
    </row>
    <row r="11" spans="1:15" x14ac:dyDescent="0.25">
      <c r="A11" s="4" t="s">
        <v>10</v>
      </c>
      <c r="B11" s="4">
        <v>517.22</v>
      </c>
      <c r="C11" s="32">
        <v>517173</v>
      </c>
      <c r="D11" s="4">
        <v>99.99</v>
      </c>
      <c r="E11" s="4"/>
      <c r="F11" s="4"/>
      <c r="G11" s="31"/>
      <c r="H11" s="4"/>
      <c r="I11" s="31"/>
      <c r="J11" s="4"/>
      <c r="K11" s="31"/>
      <c r="L11" s="4"/>
      <c r="M11" s="4"/>
      <c r="N11" s="31"/>
      <c r="O11" s="30"/>
    </row>
    <row r="12" spans="1:15" x14ac:dyDescent="0.25">
      <c r="A12" s="4" t="s">
        <v>11</v>
      </c>
      <c r="B12" s="31">
        <v>2524.3200000000002</v>
      </c>
      <c r="C12" s="32">
        <v>2519068</v>
      </c>
      <c r="D12" s="4">
        <v>99.79</v>
      </c>
      <c r="E12" s="4"/>
      <c r="F12" s="4"/>
      <c r="G12" s="31"/>
      <c r="H12" s="4"/>
      <c r="I12" s="31"/>
      <c r="J12" s="4"/>
      <c r="K12" s="31"/>
      <c r="L12" s="4"/>
      <c r="M12" s="4"/>
      <c r="N12" s="31"/>
      <c r="O12" s="30"/>
    </row>
    <row r="13" spans="1:15" x14ac:dyDescent="0.25">
      <c r="A13" s="4" t="s">
        <v>12</v>
      </c>
      <c r="B13" s="31">
        <v>1572.86</v>
      </c>
      <c r="C13" s="32">
        <v>1483201</v>
      </c>
      <c r="D13" s="4">
        <v>94.3</v>
      </c>
      <c r="E13" s="4"/>
      <c r="F13" s="4"/>
      <c r="G13" s="31"/>
      <c r="H13" s="4"/>
      <c r="I13" s="31"/>
      <c r="J13" s="4"/>
      <c r="K13" s="31"/>
      <c r="L13" s="4"/>
      <c r="M13" s="4"/>
      <c r="N13" s="31"/>
      <c r="O13" s="30"/>
    </row>
    <row r="14" spans="1:15" x14ac:dyDescent="0.25">
      <c r="A14" s="4" t="s">
        <v>128</v>
      </c>
      <c r="B14" s="31">
        <v>1399.72</v>
      </c>
      <c r="C14" s="32">
        <v>1388876</v>
      </c>
      <c r="D14" s="4">
        <v>99.22</v>
      </c>
      <c r="E14" s="4"/>
      <c r="F14" s="4"/>
      <c r="G14" s="4"/>
      <c r="H14" s="4"/>
      <c r="I14" s="4"/>
      <c r="J14" s="4"/>
      <c r="K14" s="4"/>
      <c r="L14" s="4"/>
      <c r="M14" s="4"/>
      <c r="N14" s="31"/>
      <c r="O14" s="30"/>
    </row>
    <row r="15" spans="1:15" x14ac:dyDescent="0.25">
      <c r="A15" s="4" t="s">
        <v>129</v>
      </c>
      <c r="B15" s="4">
        <v>813.6</v>
      </c>
      <c r="C15" s="32">
        <v>769537</v>
      </c>
      <c r="D15" s="4">
        <v>94.58</v>
      </c>
      <c r="E15" s="4"/>
      <c r="F15" s="4"/>
      <c r="G15" s="31"/>
      <c r="H15" s="4"/>
      <c r="I15" s="31"/>
      <c r="J15" s="4"/>
      <c r="K15" s="31"/>
      <c r="L15" s="4"/>
      <c r="M15" s="4"/>
      <c r="N15" s="31"/>
      <c r="O15" s="30"/>
    </row>
    <row r="16" spans="1:15" x14ac:dyDescent="0.25">
      <c r="A16" s="4" t="s">
        <v>15</v>
      </c>
      <c r="B16" s="31">
        <v>1497.02</v>
      </c>
      <c r="C16" s="32">
        <v>1432113</v>
      </c>
      <c r="D16" s="4">
        <v>95.66</v>
      </c>
      <c r="E16" s="4"/>
      <c r="F16" s="4"/>
      <c r="G16" s="31"/>
      <c r="H16" s="4"/>
      <c r="I16" s="31"/>
      <c r="J16" s="4"/>
      <c r="K16" s="31"/>
      <c r="L16" s="4"/>
      <c r="M16" s="4"/>
      <c r="N16" s="31"/>
      <c r="O16" s="30"/>
    </row>
    <row r="17" spans="1:15" x14ac:dyDescent="0.25">
      <c r="A17" s="4" t="s">
        <v>130</v>
      </c>
      <c r="B17" s="4">
        <v>792.32</v>
      </c>
      <c r="C17" s="32">
        <v>787516</v>
      </c>
      <c r="D17" s="4">
        <v>99.39</v>
      </c>
      <c r="E17" s="4"/>
      <c r="F17" s="4"/>
      <c r="G17" s="31"/>
      <c r="H17" s="4"/>
      <c r="I17" s="31"/>
      <c r="J17" s="4"/>
      <c r="K17" s="31"/>
      <c r="L17" s="4"/>
      <c r="M17" s="4"/>
      <c r="N17" s="31"/>
      <c r="O17" s="30"/>
    </row>
    <row r="18" spans="1:15" x14ac:dyDescent="0.25">
      <c r="A18" s="4" t="s">
        <v>131</v>
      </c>
      <c r="B18" s="4">
        <v>942.26</v>
      </c>
      <c r="C18" s="32">
        <v>932289</v>
      </c>
      <c r="D18" s="4">
        <v>98.94</v>
      </c>
      <c r="E18" s="4"/>
      <c r="F18" s="4"/>
      <c r="G18" s="31"/>
      <c r="H18" s="4"/>
      <c r="I18" s="31"/>
      <c r="J18" s="4"/>
      <c r="K18" s="31"/>
      <c r="L18" s="4"/>
      <c r="M18" s="4"/>
      <c r="N18" s="31"/>
      <c r="O18" s="30"/>
    </row>
    <row r="19" spans="1:15" x14ac:dyDescent="0.25">
      <c r="A19" s="4" t="s">
        <v>132</v>
      </c>
      <c r="B19" s="4">
        <v>345.19</v>
      </c>
      <c r="C19" s="32">
        <v>343640</v>
      </c>
      <c r="D19" s="4">
        <v>99.55</v>
      </c>
      <c r="E19" s="4"/>
      <c r="F19" s="4"/>
      <c r="G19" s="4"/>
      <c r="H19" s="4"/>
      <c r="I19" s="4"/>
      <c r="J19" s="4"/>
      <c r="K19" s="4"/>
      <c r="L19" s="4"/>
      <c r="M19" s="4"/>
      <c r="N19" s="31"/>
      <c r="O19" s="30"/>
    </row>
    <row r="20" spans="1:15" x14ac:dyDescent="0.25">
      <c r="A20" s="4" t="s">
        <v>133</v>
      </c>
      <c r="B20" s="31">
        <v>2770.17</v>
      </c>
      <c r="C20" s="32">
        <v>2687988</v>
      </c>
      <c r="D20" s="4">
        <v>97.03</v>
      </c>
      <c r="E20" s="4"/>
      <c r="F20" s="4"/>
      <c r="G20" s="31"/>
      <c r="H20" s="4"/>
      <c r="I20" s="31"/>
      <c r="J20" s="4"/>
      <c r="K20" s="31"/>
      <c r="L20" s="4"/>
      <c r="M20" s="4"/>
      <c r="N20" s="31"/>
      <c r="O20" s="30"/>
    </row>
    <row r="21" spans="1:15" x14ac:dyDescent="0.25">
      <c r="A21" s="4" t="s">
        <v>134</v>
      </c>
      <c r="B21" s="4">
        <v>832.39</v>
      </c>
      <c r="C21" s="32">
        <v>775795</v>
      </c>
      <c r="D21" s="4">
        <v>93.2</v>
      </c>
      <c r="E21" s="4"/>
      <c r="F21" s="4"/>
      <c r="G21" s="31"/>
      <c r="H21" s="4"/>
      <c r="I21" s="31"/>
      <c r="J21" s="4"/>
      <c r="K21" s="31"/>
      <c r="L21" s="4"/>
      <c r="M21" s="4"/>
      <c r="N21" s="31"/>
      <c r="O21" s="30"/>
    </row>
    <row r="22" spans="1:15" x14ac:dyDescent="0.25">
      <c r="A22" s="4" t="s">
        <v>135</v>
      </c>
      <c r="B22" s="4">
        <v>388.59</v>
      </c>
      <c r="C22" s="32">
        <v>352308</v>
      </c>
      <c r="D22" s="4">
        <v>90.66</v>
      </c>
      <c r="E22" s="4"/>
      <c r="F22" s="4"/>
      <c r="G22" s="31"/>
      <c r="H22" s="4"/>
      <c r="I22" s="31"/>
      <c r="J22" s="4"/>
      <c r="K22" s="31"/>
      <c r="L22" s="31"/>
      <c r="M22" s="31"/>
      <c r="N22" s="31"/>
      <c r="O22" s="30"/>
    </row>
    <row r="23" spans="1:15" x14ac:dyDescent="0.25">
      <c r="A23" s="4" t="s">
        <v>136</v>
      </c>
      <c r="B23" s="4">
        <v>455.03</v>
      </c>
      <c r="C23" s="32">
        <v>443634</v>
      </c>
      <c r="D23" s="4">
        <v>97.49</v>
      </c>
      <c r="E23" s="4"/>
      <c r="F23" s="4"/>
      <c r="G23" s="31"/>
      <c r="H23" s="4"/>
      <c r="I23" s="31"/>
      <c r="J23" s="4"/>
      <c r="K23" s="31"/>
      <c r="L23" s="31"/>
      <c r="M23" s="31"/>
      <c r="N23" s="31"/>
      <c r="O23" s="30"/>
    </row>
    <row r="24" spans="1:15" x14ac:dyDescent="0.25">
      <c r="A24" s="4" t="s">
        <v>137</v>
      </c>
      <c r="B24" s="4">
        <v>385.02</v>
      </c>
      <c r="C24" s="32">
        <v>342344</v>
      </c>
      <c r="D24" s="4">
        <v>88.92</v>
      </c>
      <c r="E24" s="4"/>
      <c r="F24" s="4"/>
      <c r="G24" s="31"/>
      <c r="H24" s="4"/>
      <c r="I24" s="31"/>
      <c r="J24" s="4"/>
      <c r="K24" s="31"/>
      <c r="L24" s="31"/>
      <c r="M24" s="31"/>
      <c r="N24" s="31"/>
      <c r="O24" s="30"/>
    </row>
    <row r="25" spans="1:15" x14ac:dyDescent="0.25">
      <c r="A25" s="4" t="s">
        <v>138</v>
      </c>
      <c r="B25" s="4">
        <v>297.73</v>
      </c>
      <c r="C25" s="32">
        <v>268426</v>
      </c>
      <c r="D25" s="4">
        <v>90.16</v>
      </c>
      <c r="E25" s="4"/>
      <c r="F25" s="4"/>
      <c r="G25" s="4"/>
      <c r="H25" s="4"/>
      <c r="I25" s="4"/>
      <c r="J25" s="4"/>
      <c r="K25" s="31"/>
      <c r="L25" s="4"/>
      <c r="M25" s="4"/>
      <c r="N25" s="4"/>
    </row>
    <row r="26" spans="1:15" x14ac:dyDescent="0.25">
      <c r="A26" s="4" t="s">
        <v>139</v>
      </c>
      <c r="B26" s="4">
        <v>154.13</v>
      </c>
      <c r="C26" s="32">
        <v>138188</v>
      </c>
      <c r="D26" s="4">
        <v>89.65</v>
      </c>
      <c r="E26" s="4"/>
      <c r="F26" s="4"/>
      <c r="G26" s="31"/>
      <c r="H26" s="4"/>
      <c r="I26" s="31"/>
      <c r="J26" s="4"/>
      <c r="K26" s="31"/>
      <c r="L26" s="31"/>
      <c r="M26" s="31"/>
      <c r="N26" s="31"/>
    </row>
    <row r="27" spans="1:15" x14ac:dyDescent="0.25">
      <c r="A27" s="4" t="s">
        <v>26</v>
      </c>
      <c r="B27" s="31">
        <v>1468.79</v>
      </c>
      <c r="C27" s="32">
        <v>1468786</v>
      </c>
      <c r="D27" s="4">
        <v>100</v>
      </c>
    </row>
    <row r="28" spans="1:15" x14ac:dyDescent="0.25">
      <c r="A28" s="4" t="s">
        <v>27</v>
      </c>
      <c r="B28" s="31">
        <v>1919.14</v>
      </c>
      <c r="C28" s="32">
        <v>1914658</v>
      </c>
      <c r="D28" s="4">
        <v>99.77</v>
      </c>
    </row>
    <row r="29" spans="1:15" x14ac:dyDescent="0.25">
      <c r="A29" s="4" t="s">
        <v>28</v>
      </c>
      <c r="B29" s="31">
        <v>1358.39</v>
      </c>
      <c r="C29" s="32">
        <v>1209067</v>
      </c>
      <c r="D29" s="4">
        <v>89.01</v>
      </c>
    </row>
    <row r="30" spans="1:15" x14ac:dyDescent="0.25">
      <c r="A30" s="4" t="s">
        <v>29</v>
      </c>
      <c r="B30" s="31">
        <v>12800.73</v>
      </c>
      <c r="C30" s="32">
        <v>12743923</v>
      </c>
      <c r="D30" s="4">
        <v>99.56</v>
      </c>
    </row>
    <row r="31" spans="1:15" x14ac:dyDescent="0.25">
      <c r="A31" s="4" t="s">
        <v>140</v>
      </c>
      <c r="B31" s="31">
        <v>11168.13</v>
      </c>
      <c r="C31" s="32">
        <v>11167006</v>
      </c>
      <c r="D31" s="4">
        <v>99.99</v>
      </c>
    </row>
    <row r="32" spans="1:15" x14ac:dyDescent="0.25">
      <c r="A32" s="4" t="s">
        <v>141</v>
      </c>
      <c r="B32" s="31">
        <v>1413.9</v>
      </c>
      <c r="C32" s="32">
        <v>1409280</v>
      </c>
      <c r="D32" s="4">
        <v>99.67</v>
      </c>
    </row>
    <row r="33" spans="1:4" x14ac:dyDescent="0.25">
      <c r="A33" s="4" t="s">
        <v>32</v>
      </c>
      <c r="B33" s="31">
        <v>16777.330000000002</v>
      </c>
      <c r="C33" s="32">
        <v>16775676</v>
      </c>
      <c r="D33" s="4">
        <v>99.99</v>
      </c>
    </row>
    <row r="34" spans="1:4" x14ac:dyDescent="0.25">
      <c r="A34" s="4" t="s">
        <v>33</v>
      </c>
      <c r="B34" s="31">
        <v>4647.3</v>
      </c>
      <c r="C34" s="32">
        <v>4645918</v>
      </c>
      <c r="D34" s="4">
        <v>99.97</v>
      </c>
    </row>
    <row r="35" spans="1:4" x14ac:dyDescent="0.25">
      <c r="A35" s="4" t="s">
        <v>34</v>
      </c>
      <c r="B35" s="31">
        <v>3507.09</v>
      </c>
      <c r="C35" s="32">
        <v>3507091</v>
      </c>
      <c r="D35" s="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B5F7-2014-4CFF-8CD1-0DBBF8802A49}">
  <dimension ref="A2:P36"/>
  <sheetViews>
    <sheetView topLeftCell="L1" workbookViewId="0">
      <selection activeCell="P11" sqref="P11"/>
    </sheetView>
  </sheetViews>
  <sheetFormatPr defaultRowHeight="15" x14ac:dyDescent="0.25"/>
  <cols>
    <col min="1" max="1" width="29.7109375" customWidth="1"/>
  </cols>
  <sheetData>
    <row r="2" spans="1:16" x14ac:dyDescent="0.25">
      <c r="A2" t="s">
        <v>109</v>
      </c>
      <c r="B2" t="s">
        <v>84</v>
      </c>
      <c r="C2" t="s">
        <v>85</v>
      </c>
      <c r="D2" t="s">
        <v>86</v>
      </c>
      <c r="E2" t="s">
        <v>110</v>
      </c>
      <c r="F2" t="s">
        <v>108</v>
      </c>
      <c r="G2" t="s">
        <v>111</v>
      </c>
      <c r="H2" t="s">
        <v>87</v>
      </c>
      <c r="I2" t="s">
        <v>112</v>
      </c>
      <c r="J2" t="s">
        <v>88</v>
      </c>
      <c r="K2" t="s">
        <v>113</v>
      </c>
      <c r="L2" t="s">
        <v>114</v>
      </c>
      <c r="M2" t="s">
        <v>115</v>
      </c>
      <c r="N2" t="s">
        <v>89</v>
      </c>
      <c r="O2" t="s">
        <v>119</v>
      </c>
      <c r="P2" t="s">
        <v>107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29660.87</v>
      </c>
      <c r="H3">
        <v>0</v>
      </c>
      <c r="I3">
        <v>15971.77</v>
      </c>
      <c r="J3">
        <v>0</v>
      </c>
      <c r="K3">
        <v>45632.639999999999</v>
      </c>
      <c r="L3">
        <v>0</v>
      </c>
      <c r="M3">
        <v>0</v>
      </c>
      <c r="N3">
        <v>0</v>
      </c>
      <c r="O3">
        <f>SUM(B3,C3,D3,H3,L3,M3)</f>
        <v>0</v>
      </c>
      <c r="P3">
        <f>SUM(E3,F3,G3,I3,J3,N3)</f>
        <v>45632.639999999999</v>
      </c>
    </row>
    <row r="4" spans="1:16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1546.97</v>
      </c>
      <c r="H4">
        <v>0</v>
      </c>
      <c r="I4">
        <v>662.99</v>
      </c>
      <c r="J4">
        <v>0</v>
      </c>
      <c r="K4">
        <v>2209.96</v>
      </c>
      <c r="L4">
        <v>0</v>
      </c>
      <c r="M4">
        <v>0</v>
      </c>
      <c r="N4">
        <v>0</v>
      </c>
      <c r="O4">
        <f t="shared" ref="O4:O36" si="0">SUM(B4,C4,D4,H4,L4,M4)</f>
        <v>0</v>
      </c>
      <c r="P4">
        <f t="shared" ref="P4:P36" si="1">SUM(E4,F4,G4,I4,J4,N4)</f>
        <v>2209.96</v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5553.97</v>
      </c>
      <c r="H5">
        <v>0</v>
      </c>
      <c r="I5">
        <v>2995.11</v>
      </c>
      <c r="J5">
        <v>0</v>
      </c>
      <c r="K5">
        <v>8549.08</v>
      </c>
      <c r="L5">
        <v>0</v>
      </c>
      <c r="M5">
        <v>0</v>
      </c>
      <c r="N5">
        <v>0</v>
      </c>
      <c r="O5">
        <f t="shared" si="0"/>
        <v>0</v>
      </c>
      <c r="P5">
        <f t="shared" si="1"/>
        <v>8549.08</v>
      </c>
    </row>
    <row r="6" spans="1:16" x14ac:dyDescent="0.25">
      <c r="A6" t="s">
        <v>90</v>
      </c>
      <c r="B6">
        <v>0</v>
      </c>
      <c r="C6">
        <v>0</v>
      </c>
      <c r="D6">
        <v>0</v>
      </c>
      <c r="E6">
        <v>0</v>
      </c>
      <c r="F6">
        <v>0</v>
      </c>
      <c r="G6">
        <v>56572.74</v>
      </c>
      <c r="H6">
        <v>0</v>
      </c>
      <c r="I6">
        <v>30354.21</v>
      </c>
      <c r="J6">
        <v>0</v>
      </c>
      <c r="K6">
        <v>86926.95</v>
      </c>
      <c r="L6">
        <v>0</v>
      </c>
      <c r="M6">
        <v>1650.95</v>
      </c>
      <c r="N6">
        <v>0</v>
      </c>
      <c r="O6">
        <f t="shared" si="0"/>
        <v>1650.95</v>
      </c>
      <c r="P6">
        <f t="shared" si="1"/>
        <v>86926.95</v>
      </c>
    </row>
    <row r="7" spans="1:16" x14ac:dyDescent="0.25">
      <c r="A7" t="s">
        <v>91</v>
      </c>
      <c r="B7">
        <v>0</v>
      </c>
      <c r="C7">
        <v>0</v>
      </c>
      <c r="D7">
        <v>0</v>
      </c>
      <c r="E7">
        <v>0</v>
      </c>
      <c r="F7">
        <v>0</v>
      </c>
      <c r="G7">
        <v>75070.31</v>
      </c>
      <c r="H7">
        <v>0</v>
      </c>
      <c r="I7">
        <v>40409.839999999997</v>
      </c>
      <c r="J7">
        <v>0</v>
      </c>
      <c r="K7">
        <v>115480.16</v>
      </c>
      <c r="L7">
        <v>0</v>
      </c>
      <c r="M7">
        <v>0</v>
      </c>
      <c r="N7">
        <v>0</v>
      </c>
      <c r="O7">
        <f t="shared" si="0"/>
        <v>0</v>
      </c>
      <c r="P7">
        <f t="shared" si="1"/>
        <v>115480.15</v>
      </c>
    </row>
    <row r="8" spans="1:16" x14ac:dyDescent="0.25">
      <c r="A8" t="s">
        <v>92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 t="shared" si="0"/>
        <v>0</v>
      </c>
      <c r="P8">
        <f t="shared" si="1"/>
        <v>0</v>
      </c>
    </row>
    <row r="9" spans="1:16" x14ac:dyDescent="0.25">
      <c r="A9" t="s">
        <v>93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472.74</v>
      </c>
      <c r="N9">
        <v>0</v>
      </c>
      <c r="O9">
        <f t="shared" si="0"/>
        <v>472.74</v>
      </c>
      <c r="P9">
        <f t="shared" si="1"/>
        <v>0</v>
      </c>
    </row>
    <row r="10" spans="1:16" x14ac:dyDescent="0.25">
      <c r="A10" t="s">
        <v>94</v>
      </c>
      <c r="B10">
        <v>0</v>
      </c>
      <c r="C10">
        <v>0</v>
      </c>
      <c r="D10">
        <v>0</v>
      </c>
      <c r="E10">
        <v>0</v>
      </c>
      <c r="F10">
        <v>0</v>
      </c>
      <c r="G10">
        <v>5886.75</v>
      </c>
      <c r="H10">
        <v>0</v>
      </c>
      <c r="I10">
        <v>3164.92</v>
      </c>
      <c r="J10">
        <v>0</v>
      </c>
      <c r="K10">
        <v>9051.67</v>
      </c>
      <c r="L10">
        <v>0</v>
      </c>
      <c r="M10">
        <v>0</v>
      </c>
      <c r="N10">
        <v>0</v>
      </c>
      <c r="O10">
        <f t="shared" si="0"/>
        <v>0</v>
      </c>
      <c r="P10">
        <f t="shared" si="1"/>
        <v>9051.67</v>
      </c>
    </row>
    <row r="11" spans="1:16" x14ac:dyDescent="0.25">
      <c r="A11" t="s">
        <v>10</v>
      </c>
      <c r="B11">
        <v>127479.01</v>
      </c>
      <c r="C11">
        <v>0</v>
      </c>
      <c r="D11">
        <v>0</v>
      </c>
      <c r="E11">
        <v>0</v>
      </c>
      <c r="F11">
        <v>0</v>
      </c>
      <c r="G11">
        <v>59018.1</v>
      </c>
      <c r="H11">
        <v>0</v>
      </c>
      <c r="I11">
        <v>31750.58</v>
      </c>
      <c r="J11">
        <v>0</v>
      </c>
      <c r="K11">
        <v>218247.69</v>
      </c>
      <c r="L11">
        <v>580945.42000000004</v>
      </c>
      <c r="M11">
        <v>0</v>
      </c>
      <c r="N11">
        <v>43613</v>
      </c>
      <c r="O11">
        <f t="shared" si="0"/>
        <v>708424.43</v>
      </c>
      <c r="P11">
        <f t="shared" si="1"/>
        <v>134381.68</v>
      </c>
    </row>
    <row r="12" spans="1:1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514.86</v>
      </c>
      <c r="H12">
        <v>0</v>
      </c>
      <c r="I12">
        <v>277.23</v>
      </c>
      <c r="J12">
        <v>0</v>
      </c>
      <c r="K12">
        <v>792.1</v>
      </c>
      <c r="L12">
        <v>0</v>
      </c>
      <c r="M12">
        <v>0</v>
      </c>
      <c r="N12">
        <v>0</v>
      </c>
      <c r="O12">
        <f t="shared" si="0"/>
        <v>0</v>
      </c>
      <c r="P12">
        <f t="shared" si="1"/>
        <v>792.09</v>
      </c>
    </row>
    <row r="13" spans="1:1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36364.49</v>
      </c>
      <c r="H13">
        <v>0</v>
      </c>
      <c r="I13">
        <v>19562.84</v>
      </c>
      <c r="J13">
        <v>0</v>
      </c>
      <c r="K13">
        <v>55927.33</v>
      </c>
      <c r="L13">
        <v>0</v>
      </c>
      <c r="M13">
        <v>0</v>
      </c>
      <c r="N13">
        <v>0</v>
      </c>
      <c r="O13">
        <f t="shared" si="0"/>
        <v>0</v>
      </c>
      <c r="P13">
        <f t="shared" si="1"/>
        <v>55927.33</v>
      </c>
    </row>
    <row r="14" spans="1:16" x14ac:dyDescent="0.25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2359.25</v>
      </c>
      <c r="H14">
        <v>0</v>
      </c>
      <c r="I14">
        <v>1270.3599999999999</v>
      </c>
      <c r="J14">
        <v>0</v>
      </c>
      <c r="K14">
        <v>3629.61</v>
      </c>
      <c r="L14">
        <v>0</v>
      </c>
      <c r="M14">
        <v>0</v>
      </c>
      <c r="N14">
        <v>0</v>
      </c>
      <c r="O14">
        <f t="shared" si="0"/>
        <v>0</v>
      </c>
      <c r="P14">
        <f t="shared" si="1"/>
        <v>3629.6099999999997</v>
      </c>
    </row>
    <row r="15" spans="1:16" x14ac:dyDescent="0.25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6822.45</v>
      </c>
      <c r="H15">
        <v>0</v>
      </c>
      <c r="I15">
        <v>3673.63</v>
      </c>
      <c r="J15">
        <v>0</v>
      </c>
      <c r="K15">
        <v>10496.07</v>
      </c>
      <c r="L15">
        <v>0</v>
      </c>
      <c r="M15">
        <v>0</v>
      </c>
      <c r="N15">
        <v>0</v>
      </c>
      <c r="O15">
        <f t="shared" si="0"/>
        <v>0</v>
      </c>
      <c r="P15">
        <f t="shared" si="1"/>
        <v>10496.08</v>
      </c>
    </row>
    <row r="16" spans="1:1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11034.55</v>
      </c>
      <c r="H16">
        <v>0</v>
      </c>
      <c r="I16">
        <v>5941.68</v>
      </c>
      <c r="J16">
        <v>0</v>
      </c>
      <c r="K16">
        <v>16976.240000000002</v>
      </c>
      <c r="L16">
        <v>0</v>
      </c>
      <c r="M16">
        <v>0</v>
      </c>
      <c r="N16">
        <v>0</v>
      </c>
      <c r="O16">
        <f t="shared" si="0"/>
        <v>0</v>
      </c>
      <c r="P16">
        <f t="shared" si="1"/>
        <v>16976.23</v>
      </c>
    </row>
    <row r="17" spans="1:16" x14ac:dyDescent="0.25">
      <c r="A17" t="s">
        <v>97</v>
      </c>
      <c r="B17">
        <v>0</v>
      </c>
      <c r="C17">
        <v>0</v>
      </c>
      <c r="D17">
        <v>0</v>
      </c>
      <c r="E17">
        <v>0</v>
      </c>
      <c r="F17">
        <v>0</v>
      </c>
      <c r="G17">
        <v>21111.49</v>
      </c>
      <c r="H17">
        <v>0</v>
      </c>
      <c r="I17">
        <v>11367.73</v>
      </c>
      <c r="J17">
        <v>0</v>
      </c>
      <c r="K17">
        <v>32479.22</v>
      </c>
      <c r="L17">
        <v>0</v>
      </c>
      <c r="M17">
        <v>0</v>
      </c>
      <c r="N17">
        <v>0</v>
      </c>
      <c r="O17">
        <f t="shared" si="0"/>
        <v>0</v>
      </c>
      <c r="P17">
        <f t="shared" si="1"/>
        <v>32479.22</v>
      </c>
    </row>
    <row r="18" spans="1:16" x14ac:dyDescent="0.25">
      <c r="A18" t="s">
        <v>98</v>
      </c>
      <c r="B18">
        <v>0</v>
      </c>
      <c r="C18">
        <v>0</v>
      </c>
      <c r="D18">
        <v>0</v>
      </c>
      <c r="E18">
        <v>0</v>
      </c>
      <c r="F18">
        <v>0</v>
      </c>
      <c r="G18">
        <v>98245.59</v>
      </c>
      <c r="H18">
        <v>0</v>
      </c>
      <c r="I18">
        <v>52901.47</v>
      </c>
      <c r="J18">
        <v>0</v>
      </c>
      <c r="K18">
        <v>151147.06</v>
      </c>
      <c r="L18">
        <v>0</v>
      </c>
      <c r="M18">
        <v>0</v>
      </c>
      <c r="N18">
        <v>0</v>
      </c>
      <c r="O18">
        <f t="shared" si="0"/>
        <v>0</v>
      </c>
      <c r="P18">
        <f t="shared" si="1"/>
        <v>151147.06</v>
      </c>
    </row>
    <row r="19" spans="1:16" x14ac:dyDescent="0.25">
      <c r="A19" t="s">
        <v>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0"/>
        <v>0</v>
      </c>
      <c r="P19">
        <f t="shared" si="1"/>
        <v>0</v>
      </c>
    </row>
    <row r="20" spans="1:16" x14ac:dyDescent="0.25">
      <c r="A20" t="s">
        <v>116</v>
      </c>
      <c r="B20">
        <v>0</v>
      </c>
      <c r="C20">
        <v>0</v>
      </c>
      <c r="D20">
        <v>0</v>
      </c>
      <c r="E20">
        <v>0</v>
      </c>
      <c r="F20">
        <v>0</v>
      </c>
      <c r="G20">
        <v>19633.02</v>
      </c>
      <c r="H20">
        <v>0</v>
      </c>
      <c r="I20">
        <v>8189.08</v>
      </c>
      <c r="J20">
        <v>0</v>
      </c>
      <c r="K20">
        <v>27822.09</v>
      </c>
      <c r="L20">
        <v>0</v>
      </c>
      <c r="M20">
        <v>0</v>
      </c>
      <c r="N20">
        <v>0</v>
      </c>
      <c r="O20">
        <f t="shared" si="0"/>
        <v>0</v>
      </c>
      <c r="P20">
        <f t="shared" si="1"/>
        <v>27822.1</v>
      </c>
    </row>
    <row r="21" spans="1:16" x14ac:dyDescent="0.25">
      <c r="A21" t="s">
        <v>100</v>
      </c>
      <c r="B21">
        <v>0</v>
      </c>
      <c r="C21">
        <v>0</v>
      </c>
      <c r="D21">
        <v>0</v>
      </c>
      <c r="E21">
        <v>0</v>
      </c>
      <c r="F21">
        <v>0</v>
      </c>
      <c r="G21">
        <v>12876.57</v>
      </c>
      <c r="H21">
        <v>0</v>
      </c>
      <c r="I21">
        <v>5279.54</v>
      </c>
      <c r="J21">
        <v>0</v>
      </c>
      <c r="K21">
        <v>18156.11</v>
      </c>
      <c r="L21">
        <v>0</v>
      </c>
      <c r="M21">
        <v>0</v>
      </c>
      <c r="N21">
        <v>0</v>
      </c>
      <c r="O21">
        <f t="shared" si="0"/>
        <v>0</v>
      </c>
      <c r="P21">
        <f t="shared" si="1"/>
        <v>18156.11</v>
      </c>
    </row>
    <row r="22" spans="1:16" x14ac:dyDescent="0.25">
      <c r="A22" t="s">
        <v>101</v>
      </c>
      <c r="B22">
        <v>0</v>
      </c>
      <c r="C22">
        <v>0</v>
      </c>
      <c r="D22">
        <v>0</v>
      </c>
      <c r="E22">
        <v>0</v>
      </c>
      <c r="F22">
        <v>0</v>
      </c>
      <c r="G22">
        <v>6756.45</v>
      </c>
      <c r="H22">
        <v>0</v>
      </c>
      <c r="I22">
        <v>2909.53</v>
      </c>
      <c r="J22">
        <v>0</v>
      </c>
      <c r="K22">
        <v>9665.98</v>
      </c>
      <c r="L22">
        <v>0</v>
      </c>
      <c r="M22">
        <v>0</v>
      </c>
      <c r="N22">
        <v>0</v>
      </c>
      <c r="O22">
        <f t="shared" si="0"/>
        <v>0</v>
      </c>
      <c r="P22">
        <f t="shared" si="1"/>
        <v>9665.98</v>
      </c>
    </row>
    <row r="23" spans="1:16" x14ac:dyDescent="0.25">
      <c r="A23" t="s">
        <v>102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0"/>
        <v>0</v>
      </c>
      <c r="P23">
        <f t="shared" si="1"/>
        <v>0</v>
      </c>
    </row>
    <row r="24" spans="1:16" x14ac:dyDescent="0.25">
      <c r="A24" t="s">
        <v>103</v>
      </c>
      <c r="B24">
        <v>890</v>
      </c>
      <c r="C24">
        <v>0</v>
      </c>
      <c r="D24">
        <v>0</v>
      </c>
      <c r="E24">
        <v>0</v>
      </c>
      <c r="F24">
        <v>0</v>
      </c>
      <c r="G24">
        <v>201746.81</v>
      </c>
      <c r="H24">
        <v>0</v>
      </c>
      <c r="I24">
        <v>93256.95</v>
      </c>
      <c r="J24">
        <v>0</v>
      </c>
      <c r="K24">
        <v>295893.77</v>
      </c>
      <c r="L24">
        <v>110980.91</v>
      </c>
      <c r="M24">
        <v>0</v>
      </c>
      <c r="N24">
        <v>675.5</v>
      </c>
      <c r="O24">
        <f t="shared" si="0"/>
        <v>111870.91</v>
      </c>
      <c r="P24">
        <f t="shared" si="1"/>
        <v>295679.26</v>
      </c>
    </row>
    <row r="25" spans="1:16" x14ac:dyDescent="0.25">
      <c r="A25" t="s">
        <v>104</v>
      </c>
      <c r="B25">
        <v>0</v>
      </c>
      <c r="C25">
        <v>0</v>
      </c>
      <c r="D25">
        <v>0</v>
      </c>
      <c r="E25">
        <v>0</v>
      </c>
      <c r="F25">
        <v>0</v>
      </c>
      <c r="G25">
        <v>78927.929999999993</v>
      </c>
      <c r="H25">
        <v>0</v>
      </c>
      <c r="I25">
        <v>34979.69</v>
      </c>
      <c r="J25">
        <v>0</v>
      </c>
      <c r="K25">
        <v>113907.62</v>
      </c>
      <c r="L25">
        <v>0</v>
      </c>
      <c r="M25">
        <v>0</v>
      </c>
      <c r="N25">
        <v>0</v>
      </c>
      <c r="O25">
        <f t="shared" si="0"/>
        <v>0</v>
      </c>
      <c r="P25">
        <f t="shared" si="1"/>
        <v>113907.62</v>
      </c>
    </row>
    <row r="26" spans="1:16" x14ac:dyDescent="0.25">
      <c r="A26" t="s">
        <v>105</v>
      </c>
      <c r="B26">
        <v>0</v>
      </c>
      <c r="C26">
        <v>0</v>
      </c>
      <c r="D26">
        <v>0</v>
      </c>
      <c r="E26">
        <v>0</v>
      </c>
      <c r="F26">
        <v>0</v>
      </c>
      <c r="G26">
        <v>109785.43</v>
      </c>
      <c r="H26">
        <v>0</v>
      </c>
      <c r="I26">
        <v>51646.6</v>
      </c>
      <c r="J26">
        <v>0</v>
      </c>
      <c r="K26">
        <v>161432.01999999999</v>
      </c>
      <c r="L26">
        <v>0</v>
      </c>
      <c r="M26">
        <v>0</v>
      </c>
      <c r="N26">
        <v>0</v>
      </c>
      <c r="O26">
        <f t="shared" si="0"/>
        <v>0</v>
      </c>
      <c r="P26">
        <f t="shared" si="1"/>
        <v>161432.03</v>
      </c>
    </row>
    <row r="27" spans="1:16" x14ac:dyDescent="0.25">
      <c r="A27" t="s">
        <v>106</v>
      </c>
      <c r="B27">
        <v>18.489999999999998</v>
      </c>
      <c r="C27">
        <v>0</v>
      </c>
      <c r="D27">
        <v>0</v>
      </c>
      <c r="E27">
        <v>0</v>
      </c>
      <c r="F27">
        <v>0</v>
      </c>
      <c r="G27">
        <v>238906.26</v>
      </c>
      <c r="H27">
        <v>0</v>
      </c>
      <c r="I27">
        <v>110747.07</v>
      </c>
      <c r="J27">
        <v>0</v>
      </c>
      <c r="K27">
        <v>349671.82</v>
      </c>
      <c r="L27">
        <v>70051.97</v>
      </c>
      <c r="M27">
        <v>2534.84</v>
      </c>
      <c r="N27">
        <v>6512.1</v>
      </c>
      <c r="O27">
        <f t="shared" si="0"/>
        <v>72605.3</v>
      </c>
      <c r="P27">
        <f t="shared" si="1"/>
        <v>356165.43</v>
      </c>
    </row>
    <row r="28" spans="1:1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f t="shared" si="0"/>
        <v>0</v>
      </c>
      <c r="P28">
        <f t="shared" si="1"/>
        <v>0</v>
      </c>
    </row>
    <row r="29" spans="1:16" x14ac:dyDescent="0.25">
      <c r="A29" t="s">
        <v>27</v>
      </c>
      <c r="B29">
        <v>39240.519999999997</v>
      </c>
      <c r="C29">
        <v>0</v>
      </c>
      <c r="D29">
        <v>86220.17</v>
      </c>
      <c r="E29">
        <v>0</v>
      </c>
      <c r="F29">
        <v>0</v>
      </c>
      <c r="G29">
        <v>301999.02</v>
      </c>
      <c r="H29">
        <v>0</v>
      </c>
      <c r="I29">
        <v>160186.07</v>
      </c>
      <c r="J29">
        <v>0</v>
      </c>
      <c r="K29">
        <v>587645.78</v>
      </c>
      <c r="L29">
        <v>550167.09</v>
      </c>
      <c r="M29">
        <v>60.46</v>
      </c>
      <c r="N29">
        <v>33338.629999999997</v>
      </c>
      <c r="O29">
        <f t="shared" si="0"/>
        <v>675688.24</v>
      </c>
      <c r="P29">
        <f t="shared" si="1"/>
        <v>495523.72000000003</v>
      </c>
    </row>
    <row r="30" spans="1:16" x14ac:dyDescent="0.25">
      <c r="A30" t="s">
        <v>28</v>
      </c>
      <c r="B30">
        <v>0</v>
      </c>
      <c r="C30">
        <v>0</v>
      </c>
      <c r="D30">
        <v>25416.39</v>
      </c>
      <c r="E30">
        <v>0</v>
      </c>
      <c r="F30">
        <v>0</v>
      </c>
      <c r="G30">
        <v>163373.6</v>
      </c>
      <c r="H30">
        <v>0</v>
      </c>
      <c r="I30">
        <v>54844.02</v>
      </c>
      <c r="J30">
        <v>0</v>
      </c>
      <c r="K30">
        <v>243634.01</v>
      </c>
      <c r="L30">
        <v>553267.43999999994</v>
      </c>
      <c r="M30">
        <v>0</v>
      </c>
      <c r="N30">
        <v>5171.1000000000004</v>
      </c>
      <c r="O30">
        <f t="shared" si="0"/>
        <v>578683.82999999996</v>
      </c>
      <c r="P30">
        <f t="shared" si="1"/>
        <v>223388.72</v>
      </c>
    </row>
    <row r="31" spans="1:16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16949.509999999998</v>
      </c>
      <c r="H31">
        <v>0</v>
      </c>
      <c r="I31">
        <v>9126.66</v>
      </c>
      <c r="J31">
        <v>0</v>
      </c>
      <c r="K31">
        <v>26076.17</v>
      </c>
      <c r="L31">
        <v>0</v>
      </c>
      <c r="M31">
        <v>0</v>
      </c>
      <c r="N31">
        <v>0</v>
      </c>
      <c r="O31">
        <f t="shared" si="0"/>
        <v>0</v>
      </c>
      <c r="P31">
        <f t="shared" si="1"/>
        <v>26076.17</v>
      </c>
    </row>
    <row r="32" spans="1:16" x14ac:dyDescent="0.25">
      <c r="A32" t="s">
        <v>117</v>
      </c>
      <c r="B32">
        <v>0</v>
      </c>
      <c r="C32">
        <v>0</v>
      </c>
      <c r="D32">
        <v>0</v>
      </c>
      <c r="E32">
        <v>0</v>
      </c>
      <c r="F32">
        <v>0</v>
      </c>
      <c r="G32">
        <v>213.23</v>
      </c>
      <c r="H32">
        <v>0</v>
      </c>
      <c r="I32">
        <v>0</v>
      </c>
      <c r="J32">
        <v>0</v>
      </c>
      <c r="K32">
        <v>213.23</v>
      </c>
      <c r="L32">
        <v>0</v>
      </c>
      <c r="M32">
        <v>0</v>
      </c>
      <c r="N32">
        <v>0</v>
      </c>
      <c r="O32">
        <f t="shared" si="0"/>
        <v>0</v>
      </c>
      <c r="P32">
        <f t="shared" si="1"/>
        <v>213.23</v>
      </c>
    </row>
    <row r="33" spans="1:16" x14ac:dyDescent="0.25">
      <c r="A33" t="s">
        <v>118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 t="shared" si="0"/>
        <v>0</v>
      </c>
      <c r="P33">
        <f t="shared" si="1"/>
        <v>0</v>
      </c>
    </row>
    <row r="34" spans="1:16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f t="shared" si="0"/>
        <v>0</v>
      </c>
      <c r="P34">
        <f t="shared" si="1"/>
        <v>0</v>
      </c>
    </row>
    <row r="35" spans="1:16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214</v>
      </c>
      <c r="H35">
        <v>0</v>
      </c>
      <c r="I35">
        <v>115.23</v>
      </c>
      <c r="J35">
        <v>0</v>
      </c>
      <c r="K35">
        <v>329.23</v>
      </c>
      <c r="L35">
        <v>0</v>
      </c>
      <c r="M35">
        <v>0</v>
      </c>
      <c r="N35">
        <v>0</v>
      </c>
      <c r="O35">
        <f t="shared" si="0"/>
        <v>0</v>
      </c>
      <c r="P35">
        <f t="shared" si="1"/>
        <v>329.23</v>
      </c>
    </row>
    <row r="36" spans="1:16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f t="shared" si="0"/>
        <v>0</v>
      </c>
      <c r="P36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6B9E-2C0E-4A8F-A4E8-AC19D22B6A66}">
  <dimension ref="A1:C34"/>
  <sheetViews>
    <sheetView workbookViewId="0">
      <selection activeCell="D1" sqref="D1"/>
    </sheetView>
  </sheetViews>
  <sheetFormatPr defaultRowHeight="15" x14ac:dyDescent="0.25"/>
  <cols>
    <col min="2" max="2" width="12.28515625" customWidth="1"/>
    <col min="3" max="3" width="14.5703125" customWidth="1"/>
  </cols>
  <sheetData>
    <row r="1" spans="1:3" ht="60" x14ac:dyDescent="0.25">
      <c r="A1" t="s">
        <v>0</v>
      </c>
      <c r="B1" s="28" t="s">
        <v>1</v>
      </c>
      <c r="C1" s="5" t="s">
        <v>35</v>
      </c>
    </row>
    <row r="2" spans="1:3" x14ac:dyDescent="0.25">
      <c r="A2">
        <v>1</v>
      </c>
      <c r="B2" s="7" t="s">
        <v>2</v>
      </c>
      <c r="C2" s="18">
        <v>179.49</v>
      </c>
    </row>
    <row r="3" spans="1:3" ht="45" x14ac:dyDescent="0.25">
      <c r="A3">
        <v>2</v>
      </c>
      <c r="B3" s="23" t="s">
        <v>3</v>
      </c>
      <c r="C3" s="8">
        <v>210.06</v>
      </c>
    </row>
    <row r="4" spans="1:3" ht="45" x14ac:dyDescent="0.25">
      <c r="A4">
        <v>3</v>
      </c>
      <c r="B4" s="26" t="s">
        <v>4</v>
      </c>
      <c r="C4" s="19">
        <v>91.63</v>
      </c>
    </row>
    <row r="5" spans="1:3" x14ac:dyDescent="0.25">
      <c r="A5">
        <v>4</v>
      </c>
      <c r="B5" t="s">
        <v>5</v>
      </c>
      <c r="C5">
        <v>486.37</v>
      </c>
    </row>
    <row r="6" spans="1:3" x14ac:dyDescent="0.25">
      <c r="A6">
        <v>5</v>
      </c>
      <c r="B6" t="s">
        <v>6</v>
      </c>
      <c r="C6">
        <v>166.34</v>
      </c>
    </row>
    <row r="7" spans="1:3" x14ac:dyDescent="0.25">
      <c r="A7">
        <v>6</v>
      </c>
      <c r="B7" t="s">
        <v>7</v>
      </c>
      <c r="C7">
        <v>127.42</v>
      </c>
    </row>
    <row r="8" spans="1:3" x14ac:dyDescent="0.25">
      <c r="A8">
        <v>7</v>
      </c>
      <c r="B8" t="s">
        <v>8</v>
      </c>
      <c r="C8">
        <v>38.369999999999997</v>
      </c>
    </row>
    <row r="9" spans="1:3" x14ac:dyDescent="0.25">
      <c r="A9">
        <v>8</v>
      </c>
      <c r="B9" t="s">
        <v>9</v>
      </c>
      <c r="C9">
        <v>65.08</v>
      </c>
    </row>
    <row r="10" spans="1:3" x14ac:dyDescent="0.25">
      <c r="A10">
        <v>9</v>
      </c>
      <c r="B10" s="24" t="s">
        <v>10</v>
      </c>
      <c r="C10" s="20">
        <v>370.75</v>
      </c>
    </row>
    <row r="11" spans="1:3" ht="30" x14ac:dyDescent="0.25">
      <c r="A11">
        <v>10</v>
      </c>
      <c r="B11" s="25" t="s">
        <v>11</v>
      </c>
      <c r="C11" s="21">
        <v>53.28</v>
      </c>
    </row>
    <row r="12" spans="1:3" x14ac:dyDescent="0.25">
      <c r="A12">
        <v>11</v>
      </c>
      <c r="B12" s="22" t="s">
        <v>12</v>
      </c>
      <c r="C12" s="17">
        <v>106.51</v>
      </c>
    </row>
    <row r="13" spans="1:3" x14ac:dyDescent="0.25">
      <c r="A13">
        <v>12</v>
      </c>
      <c r="B13" t="s">
        <v>13</v>
      </c>
      <c r="C13">
        <v>16.38</v>
      </c>
    </row>
    <row r="14" spans="1:3" x14ac:dyDescent="0.25">
      <c r="A14">
        <v>13</v>
      </c>
      <c r="B14" t="s">
        <v>14</v>
      </c>
      <c r="C14">
        <v>58.17</v>
      </c>
    </row>
    <row r="15" spans="1:3" x14ac:dyDescent="0.25">
      <c r="A15">
        <v>14</v>
      </c>
      <c r="B15" t="s">
        <v>15</v>
      </c>
      <c r="C15">
        <v>131.75</v>
      </c>
    </row>
    <row r="16" spans="1:3" x14ac:dyDescent="0.25">
      <c r="A16">
        <v>15</v>
      </c>
      <c r="B16" t="s">
        <v>16</v>
      </c>
      <c r="C16">
        <v>75.510000000000005</v>
      </c>
    </row>
    <row r="17" spans="1:3" x14ac:dyDescent="0.25">
      <c r="A17">
        <v>16</v>
      </c>
      <c r="B17" t="s">
        <v>17</v>
      </c>
      <c r="C17">
        <v>251.71</v>
      </c>
    </row>
    <row r="18" spans="1:3" x14ac:dyDescent="0.25">
      <c r="A18">
        <v>17</v>
      </c>
      <c r="B18" t="s">
        <v>18</v>
      </c>
      <c r="C18">
        <v>21.18</v>
      </c>
    </row>
    <row r="19" spans="1:3" x14ac:dyDescent="0.25">
      <c r="A19">
        <v>18</v>
      </c>
      <c r="B19" t="s">
        <v>19</v>
      </c>
      <c r="C19">
        <v>116</v>
      </c>
    </row>
    <row r="20" spans="1:3" x14ac:dyDescent="0.25">
      <c r="A20">
        <v>19</v>
      </c>
      <c r="B20" t="s">
        <v>20</v>
      </c>
      <c r="C20">
        <v>36.89</v>
      </c>
    </row>
    <row r="21" spans="1:3" x14ac:dyDescent="0.25">
      <c r="A21">
        <v>20</v>
      </c>
      <c r="B21" t="s">
        <v>21</v>
      </c>
      <c r="C21">
        <v>1.77</v>
      </c>
    </row>
    <row r="22" spans="1:3" x14ac:dyDescent="0.25">
      <c r="A22">
        <v>21</v>
      </c>
      <c r="B22" t="s">
        <v>22</v>
      </c>
      <c r="C22">
        <v>419.53</v>
      </c>
    </row>
    <row r="23" spans="1:3" x14ac:dyDescent="0.25">
      <c r="A23">
        <v>22</v>
      </c>
      <c r="B23" t="s">
        <v>23</v>
      </c>
      <c r="C23">
        <v>180.94</v>
      </c>
    </row>
    <row r="24" spans="1:3" x14ac:dyDescent="0.25">
      <c r="A24">
        <v>23</v>
      </c>
      <c r="B24" t="s">
        <v>24</v>
      </c>
      <c r="C24">
        <v>203.13</v>
      </c>
    </row>
    <row r="25" spans="1:3" x14ac:dyDescent="0.25">
      <c r="A25">
        <v>24</v>
      </c>
      <c r="B25" t="s">
        <v>25</v>
      </c>
      <c r="C25">
        <v>480.15</v>
      </c>
    </row>
    <row r="26" spans="1:3" x14ac:dyDescent="0.25">
      <c r="A26">
        <v>25</v>
      </c>
      <c r="B26" t="s">
        <v>26</v>
      </c>
      <c r="C26">
        <v>6.8</v>
      </c>
    </row>
    <row r="27" spans="1:3" x14ac:dyDescent="0.25">
      <c r="A27">
        <v>26</v>
      </c>
      <c r="B27" t="s">
        <v>27</v>
      </c>
      <c r="C27">
        <v>751.98</v>
      </c>
    </row>
    <row r="28" spans="1:3" x14ac:dyDescent="0.25">
      <c r="A28">
        <v>27</v>
      </c>
      <c r="B28" t="s">
        <v>28</v>
      </c>
      <c r="C28">
        <v>627.85</v>
      </c>
    </row>
    <row r="29" spans="1:3" x14ac:dyDescent="0.25">
      <c r="A29">
        <v>28</v>
      </c>
      <c r="B29" t="s">
        <v>29</v>
      </c>
      <c r="C29">
        <v>81</v>
      </c>
    </row>
    <row r="30" spans="1:3" x14ac:dyDescent="0.25">
      <c r="A30">
        <v>29</v>
      </c>
      <c r="B30" t="s">
        <v>30</v>
      </c>
      <c r="C30">
        <v>44.24</v>
      </c>
    </row>
    <row r="31" spans="1:3" x14ac:dyDescent="0.25">
      <c r="A31">
        <v>30</v>
      </c>
      <c r="B31" t="s">
        <v>31</v>
      </c>
      <c r="C31">
        <v>0.78</v>
      </c>
    </row>
    <row r="32" spans="1:3" x14ac:dyDescent="0.25">
      <c r="A32">
        <v>31</v>
      </c>
      <c r="B32" t="s">
        <v>32</v>
      </c>
      <c r="C32" s="1">
        <v>149.79</v>
      </c>
    </row>
    <row r="33" spans="1:3" x14ac:dyDescent="0.25">
      <c r="A33">
        <v>32</v>
      </c>
      <c r="B33" t="s">
        <v>33</v>
      </c>
      <c r="C33" s="2">
        <v>16.62</v>
      </c>
    </row>
    <row r="34" spans="1:3" x14ac:dyDescent="0.25">
      <c r="A34">
        <v>33</v>
      </c>
      <c r="B34" t="s">
        <v>34</v>
      </c>
      <c r="C34" s="1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BC91-BB32-493F-9521-871CE25D5BC6}">
  <dimension ref="A1:W34"/>
  <sheetViews>
    <sheetView topLeftCell="I1" workbookViewId="0">
      <selection activeCell="AA2" sqref="AA2"/>
    </sheetView>
  </sheetViews>
  <sheetFormatPr defaultRowHeight="15" x14ac:dyDescent="0.25"/>
  <cols>
    <col min="1" max="1" width="40.140625" bestFit="1" customWidth="1"/>
    <col min="5" max="5" width="13.7109375" customWidth="1"/>
    <col min="6" max="6" width="17.85546875" customWidth="1"/>
    <col min="7" max="7" width="11.85546875" customWidth="1"/>
    <col min="8" max="8" width="20.28515625" customWidth="1"/>
  </cols>
  <sheetData>
    <row r="1" spans="1:23" ht="90" x14ac:dyDescent="0.25">
      <c r="A1" t="s">
        <v>144</v>
      </c>
      <c r="B1" t="s">
        <v>145</v>
      </c>
      <c r="C1" t="s">
        <v>146</v>
      </c>
      <c r="D1" t="s">
        <v>147</v>
      </c>
      <c r="E1" t="s">
        <v>149</v>
      </c>
      <c r="F1" t="s">
        <v>150</v>
      </c>
      <c r="G1" t="s">
        <v>151</v>
      </c>
      <c r="H1" t="s">
        <v>152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153</v>
      </c>
      <c r="R1" s="5" t="s">
        <v>154</v>
      </c>
      <c r="S1" s="5" t="s">
        <v>155</v>
      </c>
      <c r="T1" s="5" t="s">
        <v>156</v>
      </c>
      <c r="U1" s="5" t="s">
        <v>157</v>
      </c>
      <c r="V1" s="5" t="s">
        <v>158</v>
      </c>
      <c r="W1" s="5" t="s">
        <v>159</v>
      </c>
    </row>
    <row r="2" spans="1:23" x14ac:dyDescent="0.25">
      <c r="A2" t="s">
        <v>2</v>
      </c>
      <c r="B2">
        <v>179.49</v>
      </c>
      <c r="C2">
        <v>9</v>
      </c>
      <c r="D2">
        <v>33.49</v>
      </c>
      <c r="E2">
        <f>B2-C2-D2</f>
        <v>137</v>
      </c>
      <c r="F2">
        <f>C2/B2</f>
        <v>5.0142069196055489E-2</v>
      </c>
      <c r="G2">
        <f>D2/B2</f>
        <v>0.18658421081954427</v>
      </c>
      <c r="H2">
        <f>E2/B2</f>
        <v>0.76327371998440019</v>
      </c>
      <c r="I2">
        <v>2140.98</v>
      </c>
      <c r="J2">
        <v>343.37</v>
      </c>
      <c r="K2">
        <v>662</v>
      </c>
      <c r="L2">
        <v>277.82</v>
      </c>
      <c r="M2">
        <v>119.48</v>
      </c>
      <c r="N2">
        <v>139.24</v>
      </c>
      <c r="O2">
        <v>13.25</v>
      </c>
      <c r="P2">
        <v>3696.14</v>
      </c>
      <c r="Q2">
        <f>I2/$P2</f>
        <v>0.5792475393248091</v>
      </c>
      <c r="R2">
        <f t="shared" ref="R2:R17" si="0">J2/$P2</f>
        <v>9.2899619603153571E-2</v>
      </c>
      <c r="S2">
        <f>K2/$P2</f>
        <v>0.17910576980309187</v>
      </c>
      <c r="T2">
        <f>L2/$P2</f>
        <v>7.5164901762379138E-2</v>
      </c>
      <c r="U2">
        <f>M2/$P2</f>
        <v>3.2325615371712114E-2</v>
      </c>
      <c r="V2">
        <f>N2/$P2</f>
        <v>3.7671733213568752E-2</v>
      </c>
      <c r="W2">
        <f>O2/$P2</f>
        <v>3.5848209212854493E-3</v>
      </c>
    </row>
    <row r="3" spans="1:23" x14ac:dyDescent="0.25">
      <c r="A3" t="s">
        <v>3</v>
      </c>
      <c r="B3">
        <v>210.06</v>
      </c>
      <c r="C3">
        <v>0</v>
      </c>
      <c r="D3">
        <v>206.03</v>
      </c>
      <c r="E3">
        <f t="shared" ref="E3:E4" si="1">B3-C3-D3</f>
        <v>4.0300000000000011</v>
      </c>
      <c r="F3">
        <f t="shared" ref="F3:F4" si="2">C3/B3</f>
        <v>0</v>
      </c>
      <c r="G3">
        <f t="shared" ref="G3:G34" si="3">D3/B3</f>
        <v>0.98081500523659904</v>
      </c>
      <c r="H3">
        <f t="shared" ref="H3:H34" si="4">E3/B3</f>
        <v>1.9184994763400937E-2</v>
      </c>
      <c r="I3">
        <v>6555.63</v>
      </c>
      <c r="J3">
        <v>3282.86</v>
      </c>
      <c r="K3">
        <v>1982.48</v>
      </c>
      <c r="L3">
        <v>624.28</v>
      </c>
      <c r="M3">
        <v>167.44</v>
      </c>
      <c r="N3">
        <v>415.5</v>
      </c>
      <c r="O3">
        <v>206.06</v>
      </c>
      <c r="P3">
        <v>13234.26</v>
      </c>
      <c r="Q3">
        <f t="shared" ref="Q3:Q34" si="5">I3/P3</f>
        <v>0.49535297024540853</v>
      </c>
      <c r="R3">
        <f>J3/$P3</f>
        <v>0.2480576926854996</v>
      </c>
      <c r="S3">
        <f t="shared" ref="S3:S34" si="6">K3/$P3</f>
        <v>0.14979908207939091</v>
      </c>
      <c r="T3">
        <f t="shared" ref="T3:T34" si="7">L3/$P3</f>
        <v>4.7171507889371973E-2</v>
      </c>
      <c r="U3">
        <f t="shared" ref="U3:U34" si="8">M3/$P3</f>
        <v>1.2652010765996738E-2</v>
      </c>
      <c r="V3">
        <f t="shared" ref="V3:V34" si="9">N3/$P3</f>
        <v>3.1395786390776663E-2</v>
      </c>
      <c r="W3">
        <f t="shared" ref="W3:W34" si="10">O3/$P3</f>
        <v>1.5570194328961347E-2</v>
      </c>
    </row>
    <row r="4" spans="1:23" x14ac:dyDescent="0.25">
      <c r="A4" t="s">
        <v>4</v>
      </c>
      <c r="B4">
        <v>91.63</v>
      </c>
      <c r="C4">
        <v>0</v>
      </c>
      <c r="D4">
        <v>68.319999999999993</v>
      </c>
      <c r="E4">
        <f t="shared" si="1"/>
        <v>23.310000000000002</v>
      </c>
      <c r="F4">
        <f t="shared" si="2"/>
        <v>0</v>
      </c>
      <c r="G4">
        <f t="shared" si="3"/>
        <v>0.7456073338426279</v>
      </c>
      <c r="H4">
        <f t="shared" si="4"/>
        <v>0.2543926661573721</v>
      </c>
      <c r="I4">
        <v>1902.89</v>
      </c>
      <c r="J4">
        <v>827.34</v>
      </c>
      <c r="K4">
        <v>766.9</v>
      </c>
      <c r="L4">
        <v>237.01</v>
      </c>
      <c r="M4">
        <v>87.86</v>
      </c>
      <c r="N4">
        <v>98.64</v>
      </c>
      <c r="O4">
        <v>35.25</v>
      </c>
      <c r="P4">
        <v>3955.88</v>
      </c>
      <c r="Q4">
        <f t="shared" si="5"/>
        <v>0.48102824150378676</v>
      </c>
      <c r="R4">
        <f t="shared" si="0"/>
        <v>0.20914183443380488</v>
      </c>
      <c r="S4">
        <f t="shared" si="6"/>
        <v>0.19386331233505566</v>
      </c>
      <c r="T4">
        <f t="shared" si="7"/>
        <v>5.9913344186375721E-2</v>
      </c>
      <c r="U4">
        <f t="shared" si="8"/>
        <v>2.2209976035673477E-2</v>
      </c>
      <c r="V4">
        <f t="shared" si="9"/>
        <v>2.4935033418607238E-2</v>
      </c>
      <c r="W4">
        <f t="shared" si="10"/>
        <v>8.9107859692407251E-3</v>
      </c>
    </row>
    <row r="5" spans="1:23" x14ac:dyDescent="0.25">
      <c r="A5" t="s">
        <v>90</v>
      </c>
      <c r="B5">
        <v>486.37</v>
      </c>
      <c r="C5">
        <v>59.95</v>
      </c>
      <c r="D5">
        <v>309</v>
      </c>
      <c r="E5">
        <f t="shared" ref="E5:E34" si="11">B5-C5-D5</f>
        <v>117.42000000000002</v>
      </c>
      <c r="F5">
        <f t="shared" ref="F5:F34" si="12">C5/B5</f>
        <v>0.12326006949441784</v>
      </c>
      <c r="G5">
        <f t="shared" si="3"/>
        <v>0.63531879022143634</v>
      </c>
      <c r="H5">
        <f t="shared" si="4"/>
        <v>0.24142114028414585</v>
      </c>
      <c r="I5">
        <v>3375.08</v>
      </c>
      <c r="J5">
        <v>3399.6</v>
      </c>
      <c r="K5">
        <v>1423.62</v>
      </c>
      <c r="L5">
        <v>335.5</v>
      </c>
      <c r="M5">
        <v>125.02</v>
      </c>
      <c r="N5">
        <v>114.83</v>
      </c>
      <c r="O5">
        <v>42.02</v>
      </c>
      <c r="P5">
        <v>8815.68</v>
      </c>
      <c r="Q5">
        <f t="shared" si="5"/>
        <v>0.38284964971505314</v>
      </c>
      <c r="R5">
        <f t="shared" si="0"/>
        <v>0.38563105738865294</v>
      </c>
      <c r="S5">
        <f t="shared" si="6"/>
        <v>0.1614872590656648</v>
      </c>
      <c r="T5">
        <f t="shared" si="7"/>
        <v>3.8057189008675447E-2</v>
      </c>
      <c r="U5">
        <f t="shared" si="8"/>
        <v>1.4181549239536824E-2</v>
      </c>
      <c r="V5">
        <f t="shared" si="9"/>
        <v>1.3025654288721914E-2</v>
      </c>
      <c r="W5">
        <f t="shared" si="10"/>
        <v>4.7665069512504996E-3</v>
      </c>
    </row>
    <row r="6" spans="1:23" x14ac:dyDescent="0.25">
      <c r="A6" t="s">
        <v>91</v>
      </c>
      <c r="B6">
        <v>166.34</v>
      </c>
      <c r="C6">
        <v>25.31</v>
      </c>
      <c r="D6">
        <v>0.9</v>
      </c>
      <c r="E6">
        <f t="shared" si="11"/>
        <v>140.13</v>
      </c>
      <c r="F6">
        <f t="shared" si="12"/>
        <v>0.15215823013105687</v>
      </c>
      <c r="G6">
        <f t="shared" si="3"/>
        <v>5.4106047853793434E-3</v>
      </c>
      <c r="H6">
        <f t="shared" si="4"/>
        <v>0.84243116508356375</v>
      </c>
      <c r="I6">
        <v>562.29</v>
      </c>
      <c r="J6">
        <v>42.38</v>
      </c>
      <c r="K6">
        <v>333.88</v>
      </c>
      <c r="L6">
        <v>51.37</v>
      </c>
      <c r="M6">
        <v>46.67</v>
      </c>
      <c r="N6">
        <v>23.75</v>
      </c>
      <c r="O6">
        <v>15.74</v>
      </c>
      <c r="P6">
        <v>1076.07</v>
      </c>
      <c r="Q6">
        <f t="shared" si="5"/>
        <v>0.52254035518135433</v>
      </c>
      <c r="R6">
        <f t="shared" si="0"/>
        <v>3.9384054940663715E-2</v>
      </c>
      <c r="S6">
        <f t="shared" si="6"/>
        <v>0.31027721244900425</v>
      </c>
      <c r="T6">
        <f t="shared" si="7"/>
        <v>4.7738530021281145E-2</v>
      </c>
      <c r="U6">
        <f t="shared" si="8"/>
        <v>4.337078442852231E-2</v>
      </c>
      <c r="V6">
        <f t="shared" si="9"/>
        <v>2.207105485702603E-2</v>
      </c>
      <c r="W6">
        <f t="shared" si="10"/>
        <v>1.4627301197877463E-2</v>
      </c>
    </row>
    <row r="7" spans="1:23" x14ac:dyDescent="0.25">
      <c r="A7" t="s">
        <v>92</v>
      </c>
      <c r="B7">
        <v>127.42</v>
      </c>
      <c r="C7">
        <v>0</v>
      </c>
      <c r="D7">
        <v>119.06</v>
      </c>
      <c r="E7">
        <f t="shared" si="11"/>
        <v>8.36</v>
      </c>
      <c r="F7">
        <f t="shared" si="12"/>
        <v>0</v>
      </c>
      <c r="G7">
        <f t="shared" si="3"/>
        <v>0.93439020561921204</v>
      </c>
      <c r="H7">
        <f t="shared" si="4"/>
        <v>6.5609794380787942E-2</v>
      </c>
      <c r="I7">
        <v>3706.75</v>
      </c>
      <c r="J7">
        <v>1102.78</v>
      </c>
      <c r="K7">
        <v>994.34</v>
      </c>
      <c r="L7">
        <v>281.44</v>
      </c>
      <c r="M7">
        <v>128.06</v>
      </c>
      <c r="N7">
        <v>140.55000000000001</v>
      </c>
      <c r="O7">
        <v>159.65</v>
      </c>
      <c r="P7">
        <v>6513.57</v>
      </c>
      <c r="Q7">
        <f t="shared" si="5"/>
        <v>0.56908116439986067</v>
      </c>
      <c r="R7">
        <f t="shared" si="0"/>
        <v>0.16930500478232369</v>
      </c>
      <c r="S7">
        <f t="shared" si="6"/>
        <v>0.15265668442958316</v>
      </c>
      <c r="T7">
        <f t="shared" si="7"/>
        <v>4.3208255994792409E-2</v>
      </c>
      <c r="U7">
        <f t="shared" si="8"/>
        <v>1.9660493400700384E-2</v>
      </c>
      <c r="V7">
        <f t="shared" si="9"/>
        <v>2.1578028638672805E-2</v>
      </c>
      <c r="W7">
        <f t="shared" si="10"/>
        <v>2.4510368354066971E-2</v>
      </c>
    </row>
    <row r="8" spans="1:23" x14ac:dyDescent="0.25">
      <c r="A8" t="s">
        <v>93</v>
      </c>
      <c r="B8">
        <v>38.369999999999997</v>
      </c>
      <c r="C8">
        <v>8</v>
      </c>
      <c r="D8">
        <v>19.7</v>
      </c>
      <c r="E8">
        <f t="shared" si="11"/>
        <v>10.669999999999998</v>
      </c>
      <c r="F8">
        <f t="shared" si="12"/>
        <v>0.20849622100599427</v>
      </c>
      <c r="G8">
        <f t="shared" si="3"/>
        <v>0.51342194422726095</v>
      </c>
      <c r="H8">
        <f t="shared" si="4"/>
        <v>0.27808183476674481</v>
      </c>
      <c r="I8">
        <v>1599.14</v>
      </c>
      <c r="J8">
        <v>197.72</v>
      </c>
      <c r="K8">
        <v>481.4</v>
      </c>
      <c r="L8">
        <v>122.03</v>
      </c>
      <c r="M8">
        <v>56.64</v>
      </c>
      <c r="N8">
        <v>45.36</v>
      </c>
      <c r="O8">
        <v>20.149999999999999</v>
      </c>
      <c r="P8">
        <v>2522.44</v>
      </c>
      <c r="Q8">
        <f t="shared" si="5"/>
        <v>0.63396552544361806</v>
      </c>
      <c r="R8">
        <f t="shared" si="0"/>
        <v>7.8384421433215459E-2</v>
      </c>
      <c r="S8">
        <f t="shared" si="6"/>
        <v>0.19084695770761642</v>
      </c>
      <c r="T8">
        <f t="shared" si="7"/>
        <v>4.8377761215331189E-2</v>
      </c>
      <c r="U8">
        <f t="shared" si="8"/>
        <v>2.2454448866970077E-2</v>
      </c>
      <c r="V8">
        <f t="shared" si="9"/>
        <v>1.7982588287531121E-2</v>
      </c>
      <c r="W8">
        <f t="shared" si="10"/>
        <v>7.9882970457176381E-3</v>
      </c>
    </row>
    <row r="9" spans="1:23" x14ac:dyDescent="0.25">
      <c r="A9" t="s">
        <v>94</v>
      </c>
      <c r="B9">
        <v>65.08</v>
      </c>
      <c r="C9">
        <v>4</v>
      </c>
      <c r="D9">
        <v>41.62</v>
      </c>
      <c r="E9">
        <f t="shared" si="11"/>
        <v>19.46</v>
      </c>
      <c r="F9">
        <f t="shared" si="12"/>
        <v>6.1462814996926858E-2</v>
      </c>
      <c r="G9">
        <f t="shared" si="3"/>
        <v>0.63952059004302397</v>
      </c>
      <c r="H9">
        <f t="shared" si="4"/>
        <v>0.29901659496004918</v>
      </c>
      <c r="I9">
        <v>856.12</v>
      </c>
      <c r="J9">
        <v>85.38</v>
      </c>
      <c r="K9">
        <v>186.88</v>
      </c>
      <c r="L9">
        <v>55.39</v>
      </c>
      <c r="M9">
        <v>34.85</v>
      </c>
      <c r="N9">
        <v>7.89</v>
      </c>
      <c r="O9">
        <v>3.6</v>
      </c>
      <c r="P9">
        <v>1230.1099999999999</v>
      </c>
      <c r="Q9">
        <f t="shared" si="5"/>
        <v>0.69597027908073272</v>
      </c>
      <c r="R9">
        <f t="shared" si="0"/>
        <v>6.940842688865223E-2</v>
      </c>
      <c r="S9">
        <f t="shared" si="6"/>
        <v>0.15192137288535174</v>
      </c>
      <c r="T9">
        <f t="shared" si="7"/>
        <v>4.5028493386770292E-2</v>
      </c>
      <c r="U9">
        <f t="shared" si="8"/>
        <v>2.8330799684581059E-2</v>
      </c>
      <c r="V9">
        <f t="shared" si="9"/>
        <v>6.4140605311720092E-3</v>
      </c>
      <c r="W9">
        <f t="shared" si="10"/>
        <v>2.9265675427400805E-3</v>
      </c>
    </row>
    <row r="10" spans="1:23" x14ac:dyDescent="0.25">
      <c r="A10" t="s">
        <v>10</v>
      </c>
      <c r="B10">
        <v>370.75</v>
      </c>
      <c r="C10">
        <v>12</v>
      </c>
      <c r="D10">
        <v>148</v>
      </c>
      <c r="E10">
        <f t="shared" si="11"/>
        <v>210.75</v>
      </c>
      <c r="F10">
        <f t="shared" si="12"/>
        <v>3.2366824005394472E-2</v>
      </c>
      <c r="G10">
        <f t="shared" si="3"/>
        <v>0.39919082939986517</v>
      </c>
      <c r="H10">
        <f t="shared" si="4"/>
        <v>0.56844234659474036</v>
      </c>
      <c r="I10">
        <v>858.36</v>
      </c>
      <c r="J10">
        <v>349.91</v>
      </c>
      <c r="K10">
        <v>261.62</v>
      </c>
      <c r="L10">
        <v>65.83</v>
      </c>
      <c r="M10">
        <v>39.549999999999997</v>
      </c>
      <c r="N10">
        <v>10.61</v>
      </c>
      <c r="O10">
        <v>7.6</v>
      </c>
      <c r="P10">
        <v>1593.5</v>
      </c>
      <c r="Q10">
        <f t="shared" si="5"/>
        <v>0.53866331973642922</v>
      </c>
      <c r="R10">
        <f t="shared" si="0"/>
        <v>0.21958581738311894</v>
      </c>
      <c r="S10">
        <f t="shared" si="6"/>
        <v>0.16417947913398181</v>
      </c>
      <c r="T10">
        <f t="shared" si="7"/>
        <v>4.1311578286790086E-2</v>
      </c>
      <c r="U10">
        <f t="shared" si="8"/>
        <v>2.481957954188892E-2</v>
      </c>
      <c r="V10">
        <f t="shared" si="9"/>
        <v>6.6582993410731093E-3</v>
      </c>
      <c r="W10">
        <f t="shared" si="10"/>
        <v>4.7693755883275804E-3</v>
      </c>
    </row>
    <row r="11" spans="1:23" x14ac:dyDescent="0.25">
      <c r="A11" t="s">
        <v>11</v>
      </c>
      <c r="B11">
        <v>53.28</v>
      </c>
      <c r="C11">
        <v>0</v>
      </c>
      <c r="D11">
        <v>48.2</v>
      </c>
      <c r="E11">
        <f t="shared" si="11"/>
        <v>5.0799999999999983</v>
      </c>
      <c r="F11">
        <f t="shared" si="12"/>
        <v>0</v>
      </c>
      <c r="G11">
        <f t="shared" si="3"/>
        <v>0.90465465465465467</v>
      </c>
      <c r="H11">
        <f t="shared" si="4"/>
        <v>9.5345345345345306E-2</v>
      </c>
      <c r="I11">
        <v>3401.6</v>
      </c>
      <c r="J11">
        <v>1152.53</v>
      </c>
      <c r="K11">
        <v>909.57</v>
      </c>
      <c r="L11">
        <v>302.10000000000002</v>
      </c>
      <c r="M11">
        <v>78.06</v>
      </c>
      <c r="N11">
        <v>132.68</v>
      </c>
      <c r="O11">
        <v>15.31</v>
      </c>
      <c r="P11">
        <v>5991.85</v>
      </c>
      <c r="Q11">
        <f t="shared" si="5"/>
        <v>0.56770446523193996</v>
      </c>
      <c r="R11">
        <f t="shared" si="0"/>
        <v>0.1923496082178292</v>
      </c>
      <c r="S11">
        <f t="shared" si="6"/>
        <v>0.15180119662541619</v>
      </c>
      <c r="T11">
        <f t="shared" si="7"/>
        <v>5.0418485108939641E-2</v>
      </c>
      <c r="U11">
        <f t="shared" si="8"/>
        <v>1.3027695953670402E-2</v>
      </c>
      <c r="V11">
        <f t="shared" si="9"/>
        <v>2.2143411467243006E-2</v>
      </c>
      <c r="W11">
        <f t="shared" si="10"/>
        <v>2.5551373949614892E-3</v>
      </c>
    </row>
    <row r="12" spans="1:23" x14ac:dyDescent="0.25">
      <c r="A12" t="s">
        <v>12</v>
      </c>
      <c r="B12">
        <v>106.51</v>
      </c>
      <c r="C12">
        <v>18.5</v>
      </c>
      <c r="D12">
        <v>21.8</v>
      </c>
      <c r="E12">
        <f t="shared" si="11"/>
        <v>66.210000000000008</v>
      </c>
      <c r="F12">
        <f t="shared" si="12"/>
        <v>0.17369261102243919</v>
      </c>
      <c r="G12">
        <f t="shared" si="3"/>
        <v>0.20467561731292835</v>
      </c>
      <c r="H12">
        <f t="shared" si="4"/>
        <v>0.62163177166463246</v>
      </c>
      <c r="I12">
        <v>2202.41</v>
      </c>
      <c r="J12">
        <v>286</v>
      </c>
      <c r="K12">
        <v>748.81</v>
      </c>
      <c r="L12">
        <v>175.77</v>
      </c>
      <c r="M12">
        <v>89.67</v>
      </c>
      <c r="N12">
        <v>46.99</v>
      </c>
      <c r="O12">
        <v>10.220000000000001</v>
      </c>
      <c r="P12">
        <v>3559.87</v>
      </c>
      <c r="Q12">
        <f t="shared" si="5"/>
        <v>0.61867708652282249</v>
      </c>
      <c r="R12">
        <f t="shared" si="0"/>
        <v>8.0340012416183743E-2</v>
      </c>
      <c r="S12">
        <f t="shared" si="6"/>
        <v>0.21034756887189701</v>
      </c>
      <c r="T12">
        <f t="shared" si="7"/>
        <v>4.9375398539834324E-2</v>
      </c>
      <c r="U12">
        <f t="shared" si="8"/>
        <v>2.5189122074682505E-2</v>
      </c>
      <c r="V12">
        <f t="shared" si="9"/>
        <v>1.3199920221805854E-2</v>
      </c>
      <c r="W12">
        <f t="shared" si="10"/>
        <v>2.8708913527741185E-3</v>
      </c>
    </row>
    <row r="13" spans="1:23" x14ac:dyDescent="0.25">
      <c r="A13" t="s">
        <v>95</v>
      </c>
      <c r="B13">
        <v>16.38</v>
      </c>
      <c r="C13">
        <v>0</v>
      </c>
      <c r="D13">
        <v>2.4</v>
      </c>
      <c r="E13">
        <f t="shared" si="11"/>
        <v>13.979999999999999</v>
      </c>
      <c r="F13">
        <f t="shared" si="12"/>
        <v>0</v>
      </c>
      <c r="G13">
        <f t="shared" si="3"/>
        <v>0.14652014652014653</v>
      </c>
      <c r="H13">
        <f t="shared" si="4"/>
        <v>0.85347985347985345</v>
      </c>
      <c r="I13">
        <v>2081.6999999999998</v>
      </c>
      <c r="J13">
        <v>798.45</v>
      </c>
      <c r="K13">
        <v>697.86</v>
      </c>
      <c r="L13">
        <v>192.25</v>
      </c>
      <c r="M13">
        <v>100.07</v>
      </c>
      <c r="N13">
        <v>68.89</v>
      </c>
      <c r="O13">
        <v>32.94</v>
      </c>
      <c r="P13">
        <v>3972.16</v>
      </c>
      <c r="Q13">
        <f t="shared" si="5"/>
        <v>0.52407254491259159</v>
      </c>
      <c r="R13">
        <f t="shared" si="0"/>
        <v>0.20101154032063162</v>
      </c>
      <c r="S13">
        <f t="shared" si="6"/>
        <v>0.17568778699750262</v>
      </c>
      <c r="T13">
        <f t="shared" si="7"/>
        <v>4.8399359542415213E-2</v>
      </c>
      <c r="U13">
        <f t="shared" si="8"/>
        <v>2.5192842181583821E-2</v>
      </c>
      <c r="V13">
        <f t="shared" si="9"/>
        <v>1.7343208732780151E-2</v>
      </c>
      <c r="W13">
        <f t="shared" si="10"/>
        <v>8.2927173124949655E-3</v>
      </c>
    </row>
    <row r="14" spans="1:23" x14ac:dyDescent="0.25">
      <c r="A14" t="s">
        <v>96</v>
      </c>
      <c r="B14">
        <v>58.17</v>
      </c>
      <c r="C14">
        <v>0</v>
      </c>
      <c r="D14">
        <v>17.45</v>
      </c>
      <c r="E14">
        <f t="shared" si="11"/>
        <v>40.72</v>
      </c>
      <c r="F14">
        <f t="shared" si="12"/>
        <v>0</v>
      </c>
      <c r="G14">
        <f t="shared" si="3"/>
        <v>0.29998280900807972</v>
      </c>
      <c r="H14">
        <f t="shared" si="4"/>
        <v>0.70001719099192017</v>
      </c>
      <c r="I14">
        <v>1178.77</v>
      </c>
      <c r="J14">
        <v>191.64</v>
      </c>
      <c r="K14">
        <v>405.3</v>
      </c>
      <c r="L14">
        <v>98.98</v>
      </c>
      <c r="M14">
        <v>72.25</v>
      </c>
      <c r="N14">
        <v>24.54</v>
      </c>
      <c r="O14">
        <v>7.29</v>
      </c>
      <c r="P14">
        <v>1978.76</v>
      </c>
      <c r="Q14">
        <f t="shared" si="5"/>
        <v>0.59571145565909966</v>
      </c>
      <c r="R14">
        <f t="shared" si="0"/>
        <v>9.6848531403505217E-2</v>
      </c>
      <c r="S14">
        <f t="shared" si="6"/>
        <v>0.2048252440922598</v>
      </c>
      <c r="T14">
        <f t="shared" si="7"/>
        <v>5.0021225413895573E-2</v>
      </c>
      <c r="U14">
        <f t="shared" si="8"/>
        <v>3.6512765570357195E-2</v>
      </c>
      <c r="V14">
        <f t="shared" si="9"/>
        <v>1.2401706118983606E-2</v>
      </c>
      <c r="W14">
        <f t="shared" si="10"/>
        <v>3.6841254118741029E-3</v>
      </c>
    </row>
    <row r="15" spans="1:23" x14ac:dyDescent="0.25">
      <c r="A15" t="s">
        <v>15</v>
      </c>
      <c r="B15">
        <v>131.75</v>
      </c>
      <c r="C15">
        <v>12.33</v>
      </c>
      <c r="D15">
        <v>77.73</v>
      </c>
      <c r="E15">
        <f t="shared" si="11"/>
        <v>41.69</v>
      </c>
      <c r="F15">
        <f t="shared" si="12"/>
        <v>9.3586337760910812E-2</v>
      </c>
      <c r="G15">
        <f t="shared" si="3"/>
        <v>0.58998102466793167</v>
      </c>
      <c r="H15">
        <f t="shared" si="4"/>
        <v>0.31643263757115747</v>
      </c>
      <c r="I15">
        <v>3000.25</v>
      </c>
      <c r="J15">
        <v>1293.05</v>
      </c>
      <c r="K15">
        <v>1313.28</v>
      </c>
      <c r="L15">
        <v>280.14</v>
      </c>
      <c r="M15">
        <v>216.53</v>
      </c>
      <c r="N15">
        <v>56.96</v>
      </c>
      <c r="O15">
        <v>54.8</v>
      </c>
      <c r="P15">
        <v>6214.99</v>
      </c>
      <c r="Q15">
        <f t="shared" si="5"/>
        <v>0.48274413957222778</v>
      </c>
      <c r="R15">
        <f t="shared" si="0"/>
        <v>0.20805343210528093</v>
      </c>
      <c r="S15">
        <f t="shared" si="6"/>
        <v>0.21130846550034674</v>
      </c>
      <c r="T15">
        <f t="shared" si="7"/>
        <v>4.5074891512295275E-2</v>
      </c>
      <c r="U15">
        <f t="shared" si="8"/>
        <v>3.4839959517231726E-2</v>
      </c>
      <c r="V15">
        <f t="shared" si="9"/>
        <v>9.1649383184848245E-3</v>
      </c>
      <c r="W15">
        <f t="shared" si="10"/>
        <v>8.8173915002276761E-3</v>
      </c>
    </row>
    <row r="16" spans="1:23" x14ac:dyDescent="0.25">
      <c r="A16" t="s">
        <v>97</v>
      </c>
      <c r="B16">
        <v>75.510000000000005</v>
      </c>
      <c r="C16">
        <v>10.66</v>
      </c>
      <c r="D16">
        <v>6.5</v>
      </c>
      <c r="E16">
        <f t="shared" si="11"/>
        <v>58.350000000000009</v>
      </c>
      <c r="F16">
        <f t="shared" si="12"/>
        <v>0.14117335452257979</v>
      </c>
      <c r="G16">
        <f t="shared" si="3"/>
        <v>8.608131373328036E-2</v>
      </c>
      <c r="H16">
        <f t="shared" si="4"/>
        <v>0.77274533174413995</v>
      </c>
      <c r="I16">
        <v>1053.42</v>
      </c>
      <c r="J16">
        <v>415.37</v>
      </c>
      <c r="K16">
        <v>465.24</v>
      </c>
      <c r="L16">
        <v>111.94</v>
      </c>
      <c r="M16">
        <v>54.55</v>
      </c>
      <c r="N16">
        <v>38.619999999999997</v>
      </c>
      <c r="O16">
        <v>25.05</v>
      </c>
      <c r="P16">
        <v>2164.19</v>
      </c>
      <c r="Q16">
        <f t="shared" si="5"/>
        <v>0.48675023911948584</v>
      </c>
      <c r="R16">
        <f t="shared" si="0"/>
        <v>0.19192861994556853</v>
      </c>
      <c r="S16">
        <f t="shared" si="6"/>
        <v>0.2149718832450016</v>
      </c>
      <c r="T16">
        <f t="shared" si="7"/>
        <v>5.1723739597724784E-2</v>
      </c>
      <c r="U16">
        <f t="shared" si="8"/>
        <v>2.5205735171126377E-2</v>
      </c>
      <c r="V16">
        <f t="shared" si="9"/>
        <v>1.7845013607862524E-2</v>
      </c>
      <c r="W16">
        <f t="shared" si="10"/>
        <v>1.1574769313230353E-2</v>
      </c>
    </row>
    <row r="17" spans="1:23" x14ac:dyDescent="0.25">
      <c r="A17" t="s">
        <v>98</v>
      </c>
      <c r="B17">
        <v>251.71</v>
      </c>
      <c r="C17">
        <v>58.44</v>
      </c>
      <c r="D17">
        <v>64.95</v>
      </c>
      <c r="E17">
        <f t="shared" si="11"/>
        <v>128.32</v>
      </c>
      <c r="F17">
        <f t="shared" si="12"/>
        <v>0.23217194390369869</v>
      </c>
      <c r="G17">
        <f t="shared" si="3"/>
        <v>0.25803504032418262</v>
      </c>
      <c r="H17">
        <f t="shared" si="4"/>
        <v>0.50979301577211866</v>
      </c>
      <c r="I17">
        <v>1165.75</v>
      </c>
      <c r="J17">
        <v>164.34</v>
      </c>
      <c r="K17">
        <v>265.39</v>
      </c>
      <c r="L17">
        <v>93.15</v>
      </c>
      <c r="M17">
        <v>65.91</v>
      </c>
      <c r="N17">
        <v>29.01</v>
      </c>
      <c r="O17">
        <v>21.09</v>
      </c>
      <c r="P17">
        <v>1804.62</v>
      </c>
      <c r="Q17">
        <f t="shared" si="5"/>
        <v>0.6459808713191697</v>
      </c>
      <c r="R17">
        <f t="shared" si="0"/>
        <v>9.1066263257638738E-2</v>
      </c>
      <c r="S17">
        <f t="shared" si="6"/>
        <v>0.14706143121543594</v>
      </c>
      <c r="T17">
        <f t="shared" si="7"/>
        <v>5.1617515044718565E-2</v>
      </c>
      <c r="U17">
        <f t="shared" si="8"/>
        <v>3.652292449379925E-2</v>
      </c>
      <c r="V17">
        <f t="shared" si="9"/>
        <v>1.6075406456760984E-2</v>
      </c>
      <c r="W17">
        <f t="shared" si="10"/>
        <v>1.1686670878079597E-2</v>
      </c>
    </row>
    <row r="18" spans="1:23" x14ac:dyDescent="0.25">
      <c r="A18" t="s">
        <v>99</v>
      </c>
      <c r="B18">
        <v>21.18</v>
      </c>
      <c r="C18">
        <v>0</v>
      </c>
      <c r="D18">
        <v>17</v>
      </c>
      <c r="E18">
        <f t="shared" si="11"/>
        <v>4.18</v>
      </c>
      <c r="F18">
        <f t="shared" si="12"/>
        <v>0</v>
      </c>
      <c r="G18">
        <f t="shared" si="3"/>
        <v>0.80264400377714828</v>
      </c>
      <c r="H18">
        <f t="shared" si="4"/>
        <v>0.19735599622285174</v>
      </c>
      <c r="I18">
        <v>473.32</v>
      </c>
      <c r="J18">
        <v>84.58</v>
      </c>
      <c r="K18">
        <v>114.2</v>
      </c>
      <c r="L18">
        <v>41.6</v>
      </c>
      <c r="M18">
        <v>39.58</v>
      </c>
      <c r="N18">
        <v>10.83</v>
      </c>
      <c r="O18">
        <v>6.82</v>
      </c>
      <c r="P18">
        <v>770.93</v>
      </c>
      <c r="Q18">
        <f t="shared" si="5"/>
        <v>0.61395976288378973</v>
      </c>
      <c r="R18">
        <f t="shared" ref="R18:R34" si="13">J18/$P18</f>
        <v>0.10971164697183922</v>
      </c>
      <c r="S18">
        <f t="shared" si="6"/>
        <v>0.1481327747006862</v>
      </c>
      <c r="T18">
        <f t="shared" si="7"/>
        <v>5.3960800591493399E-2</v>
      </c>
      <c r="U18">
        <f t="shared" si="8"/>
        <v>5.1340588639694915E-2</v>
      </c>
      <c r="V18">
        <f t="shared" si="9"/>
        <v>1.4047968038602728E-2</v>
      </c>
      <c r="W18">
        <f t="shared" si="10"/>
        <v>8.8464581738938695E-3</v>
      </c>
    </row>
    <row r="19" spans="1:23" x14ac:dyDescent="0.25">
      <c r="A19" t="s">
        <v>100</v>
      </c>
      <c r="B19">
        <v>116</v>
      </c>
      <c r="C19">
        <v>30</v>
      </c>
      <c r="D19">
        <v>74</v>
      </c>
      <c r="E19">
        <f t="shared" si="11"/>
        <v>12</v>
      </c>
      <c r="F19">
        <f t="shared" si="12"/>
        <v>0.25862068965517243</v>
      </c>
      <c r="G19">
        <f t="shared" si="3"/>
        <v>0.63793103448275867</v>
      </c>
      <c r="H19">
        <f t="shared" si="4"/>
        <v>0.10344827586206896</v>
      </c>
      <c r="I19">
        <v>3815.9</v>
      </c>
      <c r="J19">
        <v>2732.84</v>
      </c>
      <c r="K19">
        <v>1411.27</v>
      </c>
      <c r="L19">
        <v>421.73</v>
      </c>
      <c r="M19">
        <v>177.68</v>
      </c>
      <c r="N19">
        <v>130.66999999999999</v>
      </c>
      <c r="O19">
        <v>42.46</v>
      </c>
      <c r="P19">
        <v>8732.5499999999993</v>
      </c>
      <c r="Q19">
        <f t="shared" si="5"/>
        <v>0.43697430876433579</v>
      </c>
      <c r="R19">
        <f t="shared" si="13"/>
        <v>0.31294868051141994</v>
      </c>
      <c r="S19">
        <f t="shared" si="6"/>
        <v>0.16161029710680158</v>
      </c>
      <c r="T19">
        <f t="shared" si="7"/>
        <v>4.8294026372594494E-2</v>
      </c>
      <c r="U19">
        <f t="shared" si="8"/>
        <v>2.0346863172841841E-2</v>
      </c>
      <c r="V19">
        <f t="shared" si="9"/>
        <v>1.4963555891463547E-2</v>
      </c>
      <c r="W19">
        <f t="shared" si="10"/>
        <v>4.8622681805429117E-3</v>
      </c>
    </row>
    <row r="20" spans="1:23" x14ac:dyDescent="0.25">
      <c r="A20" t="s">
        <v>101</v>
      </c>
      <c r="B20">
        <v>36.89</v>
      </c>
      <c r="C20">
        <v>1.1200000000000001</v>
      </c>
      <c r="D20">
        <v>14</v>
      </c>
      <c r="E20">
        <f t="shared" si="11"/>
        <v>21.770000000000003</v>
      </c>
      <c r="F20">
        <f t="shared" si="12"/>
        <v>3.0360531309297917E-2</v>
      </c>
      <c r="G20">
        <f t="shared" si="3"/>
        <v>0.37950664136622392</v>
      </c>
      <c r="H20">
        <f t="shared" si="4"/>
        <v>0.59013282732447825</v>
      </c>
      <c r="I20">
        <v>939.03</v>
      </c>
      <c r="J20">
        <v>235.89</v>
      </c>
      <c r="K20">
        <v>276.44</v>
      </c>
      <c r="L20">
        <v>73.98</v>
      </c>
      <c r="M20">
        <v>54.79</v>
      </c>
      <c r="N20">
        <v>23.1</v>
      </c>
      <c r="O20">
        <v>11.25</v>
      </c>
      <c r="P20">
        <v>1614.48</v>
      </c>
      <c r="Q20">
        <f t="shared" si="5"/>
        <v>0.58162999851345321</v>
      </c>
      <c r="R20">
        <f t="shared" si="13"/>
        <v>0.14610896387691391</v>
      </c>
      <c r="S20">
        <f t="shared" si="6"/>
        <v>0.17122541003914574</v>
      </c>
      <c r="T20">
        <f t="shared" si="7"/>
        <v>4.5822803627174079E-2</v>
      </c>
      <c r="U20">
        <f t="shared" si="8"/>
        <v>3.393662355681086E-2</v>
      </c>
      <c r="V20">
        <f t="shared" si="9"/>
        <v>1.4308012486992717E-2</v>
      </c>
      <c r="W20">
        <f t="shared" si="10"/>
        <v>6.9681878995094398E-3</v>
      </c>
    </row>
    <row r="21" spans="1:23" x14ac:dyDescent="0.25">
      <c r="A21" t="s">
        <v>102</v>
      </c>
      <c r="B21">
        <v>1.77</v>
      </c>
      <c r="C21">
        <v>0</v>
      </c>
      <c r="D21">
        <v>1.77</v>
      </c>
      <c r="E21">
        <f t="shared" si="11"/>
        <v>0</v>
      </c>
      <c r="F21">
        <f t="shared" si="12"/>
        <v>0</v>
      </c>
      <c r="G21">
        <f t="shared" si="3"/>
        <v>1</v>
      </c>
      <c r="H21">
        <f t="shared" si="4"/>
        <v>0</v>
      </c>
      <c r="I21">
        <v>369.75</v>
      </c>
      <c r="J21">
        <v>49.31</v>
      </c>
      <c r="K21">
        <v>82.84</v>
      </c>
      <c r="L21">
        <v>31.93</v>
      </c>
      <c r="M21">
        <v>25.14</v>
      </c>
      <c r="N21">
        <v>7.65</v>
      </c>
      <c r="O21">
        <v>3.88</v>
      </c>
      <c r="P21">
        <v>570.49</v>
      </c>
      <c r="Q21">
        <f t="shared" si="5"/>
        <v>0.64812704867745274</v>
      </c>
      <c r="R21">
        <f t="shared" si="13"/>
        <v>8.6434468614699653E-2</v>
      </c>
      <c r="S21">
        <f t="shared" si="6"/>
        <v>0.14520850496941226</v>
      </c>
      <c r="T21">
        <f t="shared" si="7"/>
        <v>5.5969429788427491E-2</v>
      </c>
      <c r="U21">
        <f t="shared" si="8"/>
        <v>4.4067380672755001E-2</v>
      </c>
      <c r="V21">
        <f t="shared" si="9"/>
        <v>1.3409525145050746E-2</v>
      </c>
      <c r="W21">
        <f t="shared" si="10"/>
        <v>6.8011709232414239E-3</v>
      </c>
    </row>
    <row r="22" spans="1:23" x14ac:dyDescent="0.25">
      <c r="A22" t="s">
        <v>103</v>
      </c>
      <c r="B22">
        <v>419.53</v>
      </c>
      <c r="C22">
        <v>129</v>
      </c>
      <c r="D22">
        <v>0</v>
      </c>
      <c r="E22">
        <f t="shared" si="11"/>
        <v>290.52999999999997</v>
      </c>
      <c r="F22">
        <f t="shared" si="12"/>
        <v>0.3074869496817868</v>
      </c>
      <c r="G22">
        <f t="shared" si="3"/>
        <v>0</v>
      </c>
      <c r="H22">
        <f t="shared" si="4"/>
        <v>0.6925130503182132</v>
      </c>
      <c r="I22">
        <v>400.91</v>
      </c>
      <c r="J22">
        <v>11.85</v>
      </c>
      <c r="K22">
        <v>144.56</v>
      </c>
      <c r="L22">
        <v>41.01</v>
      </c>
      <c r="M22">
        <v>52.11</v>
      </c>
      <c r="N22">
        <v>7.29</v>
      </c>
      <c r="O22">
        <v>12.37</v>
      </c>
      <c r="P22">
        <v>670.1</v>
      </c>
      <c r="Q22">
        <f t="shared" si="5"/>
        <v>0.59828383823309961</v>
      </c>
      <c r="R22">
        <f t="shared" si="13"/>
        <v>1.768392777197433E-2</v>
      </c>
      <c r="S22">
        <f t="shared" si="6"/>
        <v>0.2157289956722877</v>
      </c>
      <c r="T22">
        <f t="shared" si="7"/>
        <v>6.1199820922250403E-2</v>
      </c>
      <c r="U22">
        <f t="shared" si="8"/>
        <v>7.7764512759289653E-2</v>
      </c>
      <c r="V22">
        <f t="shared" si="9"/>
        <v>1.0878973287569019E-2</v>
      </c>
      <c r="W22">
        <f t="shared" si="10"/>
        <v>1.8459931353529323E-2</v>
      </c>
    </row>
    <row r="23" spans="1:23" x14ac:dyDescent="0.25">
      <c r="A23" t="s">
        <v>104</v>
      </c>
      <c r="B23">
        <v>180.94</v>
      </c>
      <c r="C23">
        <v>52</v>
      </c>
      <c r="D23">
        <v>5</v>
      </c>
      <c r="E23">
        <f t="shared" si="11"/>
        <v>123.94</v>
      </c>
      <c r="F23">
        <f t="shared" si="12"/>
        <v>0.28738808444788327</v>
      </c>
      <c r="G23">
        <f t="shared" si="3"/>
        <v>2.7633469658450316E-2</v>
      </c>
      <c r="H23">
        <f t="shared" si="4"/>
        <v>0.68497844589366641</v>
      </c>
      <c r="I23">
        <v>561.88</v>
      </c>
      <c r="J23">
        <v>544.72</v>
      </c>
      <c r="K23">
        <v>129.78</v>
      </c>
      <c r="L23">
        <v>39.049999999999997</v>
      </c>
      <c r="M23">
        <v>44.84</v>
      </c>
      <c r="N23">
        <v>10.88</v>
      </c>
      <c r="O23">
        <v>25.46</v>
      </c>
      <c r="P23">
        <v>1356.62</v>
      </c>
      <c r="Q23">
        <f t="shared" si="5"/>
        <v>0.41417640901652641</v>
      </c>
      <c r="R23">
        <f t="shared" si="13"/>
        <v>0.40152732526425977</v>
      </c>
      <c r="S23">
        <f t="shared" si="6"/>
        <v>9.5664224322212568E-2</v>
      </c>
      <c r="T23">
        <f t="shared" si="7"/>
        <v>2.8784773923427341E-2</v>
      </c>
      <c r="U23">
        <f t="shared" si="8"/>
        <v>3.3052734000678159E-2</v>
      </c>
      <c r="V23">
        <f t="shared" si="9"/>
        <v>8.0199318895490274E-3</v>
      </c>
      <c r="W23">
        <f t="shared" si="10"/>
        <v>1.8767230322418955E-2</v>
      </c>
    </row>
    <row r="24" spans="1:23" x14ac:dyDescent="0.25">
      <c r="A24" t="s">
        <v>105</v>
      </c>
      <c r="B24">
        <v>203.13</v>
      </c>
      <c r="C24">
        <v>54</v>
      </c>
      <c r="D24">
        <v>19.559999999999999</v>
      </c>
      <c r="E24">
        <f t="shared" si="11"/>
        <v>129.57</v>
      </c>
      <c r="F24">
        <f t="shared" si="12"/>
        <v>0.26583961010190521</v>
      </c>
      <c r="G24">
        <f t="shared" si="3"/>
        <v>9.6293014325801202E-2</v>
      </c>
      <c r="H24">
        <f t="shared" si="4"/>
        <v>0.63786737557229356</v>
      </c>
      <c r="I24">
        <v>856.5</v>
      </c>
      <c r="J24">
        <v>12.44</v>
      </c>
      <c r="K24">
        <v>356.77</v>
      </c>
      <c r="L24">
        <v>92.78</v>
      </c>
      <c r="M24">
        <v>99.93</v>
      </c>
      <c r="N24">
        <v>11.63</v>
      </c>
      <c r="O24">
        <v>5.85</v>
      </c>
      <c r="P24">
        <v>1435.89</v>
      </c>
      <c r="Q24">
        <f t="shared" si="5"/>
        <v>0.59649416041618786</v>
      </c>
      <c r="R24">
        <f t="shared" si="13"/>
        <v>8.6636162937272342E-3</v>
      </c>
      <c r="S24">
        <f t="shared" si="6"/>
        <v>0.24846610812805991</v>
      </c>
      <c r="T24">
        <f t="shared" si="7"/>
        <v>6.4614977470419041E-2</v>
      </c>
      <c r="U24">
        <f t="shared" si="8"/>
        <v>6.9594467542778343E-2</v>
      </c>
      <c r="V24">
        <f t="shared" si="9"/>
        <v>8.0995062295858324E-3</v>
      </c>
      <c r="W24">
        <f t="shared" si="10"/>
        <v>4.0741282410212479E-3</v>
      </c>
    </row>
    <row r="25" spans="1:23" x14ac:dyDescent="0.25">
      <c r="A25" t="s">
        <v>106</v>
      </c>
      <c r="B25">
        <v>480.15</v>
      </c>
      <c r="C25">
        <v>39</v>
      </c>
      <c r="D25">
        <v>111.9</v>
      </c>
      <c r="E25">
        <f t="shared" si="11"/>
        <v>329.25</v>
      </c>
      <c r="F25">
        <f t="shared" si="12"/>
        <v>8.1224617307091532E-2</v>
      </c>
      <c r="G25">
        <f t="shared" si="3"/>
        <v>0.23305217119650112</v>
      </c>
      <c r="H25">
        <f t="shared" si="4"/>
        <v>0.68572321149640736</v>
      </c>
      <c r="I25">
        <v>426.31</v>
      </c>
      <c r="J25">
        <v>14.05</v>
      </c>
      <c r="K25">
        <v>172.73</v>
      </c>
      <c r="L25">
        <v>46.46</v>
      </c>
      <c r="M25">
        <v>52.17</v>
      </c>
      <c r="N25">
        <v>6.18</v>
      </c>
      <c r="O25">
        <v>2.73</v>
      </c>
      <c r="P25">
        <v>720.64</v>
      </c>
      <c r="Q25">
        <f t="shared" si="5"/>
        <v>0.59157138099467144</v>
      </c>
      <c r="R25">
        <f t="shared" si="13"/>
        <v>1.9496558614564834E-2</v>
      </c>
      <c r="S25">
        <f t="shared" si="6"/>
        <v>0.23968972024866783</v>
      </c>
      <c r="T25">
        <f t="shared" si="7"/>
        <v>6.4470470692717594E-2</v>
      </c>
      <c r="U25">
        <f t="shared" si="8"/>
        <v>7.2393983126110131E-2</v>
      </c>
      <c r="V25">
        <f t="shared" si="9"/>
        <v>8.5757104795737126E-3</v>
      </c>
      <c r="W25">
        <f t="shared" si="10"/>
        <v>3.7882992895204265E-3</v>
      </c>
    </row>
    <row r="26" spans="1:23" x14ac:dyDescent="0.25">
      <c r="A26" t="s">
        <v>26</v>
      </c>
      <c r="B26">
        <v>6.8</v>
      </c>
      <c r="C26">
        <v>0</v>
      </c>
      <c r="D26">
        <v>6.8</v>
      </c>
      <c r="E26">
        <f t="shared" si="11"/>
        <v>0</v>
      </c>
      <c r="F26">
        <f t="shared" si="12"/>
        <v>0</v>
      </c>
      <c r="G26">
        <f t="shared" si="3"/>
        <v>1</v>
      </c>
      <c r="H26">
        <f t="shared" si="4"/>
        <v>0</v>
      </c>
      <c r="I26">
        <v>3173.66</v>
      </c>
      <c r="J26">
        <v>227.35</v>
      </c>
      <c r="K26">
        <v>3389.04</v>
      </c>
      <c r="L26">
        <v>238.95</v>
      </c>
      <c r="M26">
        <v>106.72</v>
      </c>
      <c r="N26">
        <v>60.66</v>
      </c>
      <c r="O26">
        <v>104.98</v>
      </c>
      <c r="P26">
        <v>7301.36</v>
      </c>
      <c r="Q26">
        <f t="shared" si="5"/>
        <v>0.43466696615425071</v>
      </c>
      <c r="R26">
        <f t="shared" si="13"/>
        <v>3.1138034557945369E-2</v>
      </c>
      <c r="S26">
        <f t="shared" si="6"/>
        <v>0.46416558011110259</v>
      </c>
      <c r="T26">
        <f t="shared" si="7"/>
        <v>3.2726779668445331E-2</v>
      </c>
      <c r="U26">
        <f t="shared" si="8"/>
        <v>1.4616455016599647E-2</v>
      </c>
      <c r="V26">
        <f t="shared" si="9"/>
        <v>8.3080412416316959E-3</v>
      </c>
      <c r="W26">
        <f t="shared" si="10"/>
        <v>1.4378143250024655E-2</v>
      </c>
    </row>
    <row r="27" spans="1:23" x14ac:dyDescent="0.25">
      <c r="A27" t="s">
        <v>27</v>
      </c>
      <c r="B27">
        <v>751.98</v>
      </c>
      <c r="C27">
        <v>127</v>
      </c>
      <c r="D27">
        <v>135.75</v>
      </c>
      <c r="E27">
        <f t="shared" si="11"/>
        <v>489.23</v>
      </c>
      <c r="F27">
        <f t="shared" si="12"/>
        <v>0.16888747041144711</v>
      </c>
      <c r="G27">
        <f t="shared" si="3"/>
        <v>0.1805234181760153</v>
      </c>
      <c r="H27">
        <f t="shared" si="4"/>
        <v>0.65058911141253761</v>
      </c>
      <c r="I27">
        <v>1786.33</v>
      </c>
      <c r="J27">
        <v>282.12</v>
      </c>
      <c r="K27">
        <v>510.53</v>
      </c>
      <c r="L27">
        <v>140.58000000000001</v>
      </c>
      <c r="M27">
        <v>54.43</v>
      </c>
      <c r="N27">
        <v>55.42</v>
      </c>
      <c r="O27">
        <v>23.72</v>
      </c>
      <c r="P27">
        <v>2853.13</v>
      </c>
      <c r="Q27">
        <f t="shared" si="5"/>
        <v>0.62609485021712996</v>
      </c>
      <c r="R27">
        <f t="shared" si="13"/>
        <v>9.8880878193422658E-2</v>
      </c>
      <c r="S27">
        <f t="shared" si="6"/>
        <v>0.1789368167591382</v>
      </c>
      <c r="T27">
        <f t="shared" si="7"/>
        <v>4.9272202808845027E-2</v>
      </c>
      <c r="U27">
        <f t="shared" si="8"/>
        <v>1.9077294059506575E-2</v>
      </c>
      <c r="V27">
        <f t="shared" si="9"/>
        <v>1.9424281403230839E-2</v>
      </c>
      <c r="W27">
        <f t="shared" si="10"/>
        <v>8.3136765587267306E-3</v>
      </c>
    </row>
    <row r="28" spans="1:23" x14ac:dyDescent="0.25">
      <c r="A28" t="s">
        <v>28</v>
      </c>
      <c r="B28">
        <v>627.85</v>
      </c>
      <c r="C28">
        <v>104</v>
      </c>
      <c r="D28">
        <v>49.03</v>
      </c>
      <c r="E28">
        <f t="shared" si="11"/>
        <v>474.82000000000005</v>
      </c>
      <c r="F28">
        <f t="shared" si="12"/>
        <v>0.16564466034880942</v>
      </c>
      <c r="G28">
        <f t="shared" si="3"/>
        <v>7.809190093175121E-2</v>
      </c>
      <c r="H28">
        <f t="shared" si="4"/>
        <v>0.75626343871943946</v>
      </c>
      <c r="I28">
        <v>897.05</v>
      </c>
      <c r="J28">
        <v>42.5</v>
      </c>
      <c r="K28">
        <v>317.42</v>
      </c>
      <c r="L28">
        <v>97.13</v>
      </c>
      <c r="M28">
        <v>58.05</v>
      </c>
      <c r="N28">
        <v>18.13</v>
      </c>
      <c r="O28">
        <v>23.86</v>
      </c>
      <c r="P28">
        <v>1454.14</v>
      </c>
      <c r="Q28">
        <f t="shared" si="5"/>
        <v>0.61689383415627097</v>
      </c>
      <c r="R28">
        <f t="shared" si="13"/>
        <v>2.9226896997538061E-2</v>
      </c>
      <c r="S28">
        <f t="shared" si="6"/>
        <v>0.21828709752843606</v>
      </c>
      <c r="T28">
        <f t="shared" si="7"/>
        <v>6.6795494244020509E-2</v>
      </c>
      <c r="U28">
        <f t="shared" si="8"/>
        <v>3.992050284016669E-2</v>
      </c>
      <c r="V28">
        <f t="shared" si="9"/>
        <v>1.2467850413302707E-2</v>
      </c>
      <c r="W28">
        <f t="shared" si="10"/>
        <v>1.6408323820264897E-2</v>
      </c>
    </row>
    <row r="29" spans="1:23" x14ac:dyDescent="0.25">
      <c r="A29" t="s">
        <v>29</v>
      </c>
      <c r="B29">
        <v>81</v>
      </c>
      <c r="C29">
        <v>7.7</v>
      </c>
      <c r="D29">
        <v>22.02</v>
      </c>
      <c r="E29">
        <f t="shared" si="11"/>
        <v>51.28</v>
      </c>
      <c r="F29">
        <f t="shared" si="12"/>
        <v>9.5061728395061731E-2</v>
      </c>
      <c r="G29">
        <f t="shared" si="3"/>
        <v>0.27185185185185184</v>
      </c>
      <c r="H29">
        <f t="shared" si="4"/>
        <v>0.63308641975308644</v>
      </c>
      <c r="I29">
        <v>17159.72</v>
      </c>
      <c r="J29">
        <v>17782.669999999998</v>
      </c>
      <c r="K29">
        <v>6187.32</v>
      </c>
      <c r="L29">
        <v>1894.32</v>
      </c>
      <c r="M29">
        <v>497.11</v>
      </c>
      <c r="N29">
        <v>568.46</v>
      </c>
      <c r="O29">
        <v>222.23</v>
      </c>
      <c r="P29">
        <v>44311.839999999997</v>
      </c>
      <c r="Q29">
        <f t="shared" si="5"/>
        <v>0.3872490964040311</v>
      </c>
      <c r="R29">
        <f t="shared" si="13"/>
        <v>0.40130741580579815</v>
      </c>
      <c r="S29">
        <f t="shared" si="6"/>
        <v>0.13963130395849055</v>
      </c>
      <c r="T29">
        <f t="shared" si="7"/>
        <v>4.2749748148576093E-2</v>
      </c>
      <c r="U29">
        <f t="shared" si="8"/>
        <v>1.1218446356549403E-2</v>
      </c>
      <c r="V29">
        <f t="shared" si="9"/>
        <v>1.2828625487003024E-2</v>
      </c>
      <c r="W29">
        <f t="shared" si="10"/>
        <v>5.0151381662327721E-3</v>
      </c>
    </row>
    <row r="30" spans="1:23" x14ac:dyDescent="0.25">
      <c r="A30" t="s">
        <v>117</v>
      </c>
      <c r="B30">
        <v>44.24</v>
      </c>
      <c r="C30">
        <v>0</v>
      </c>
      <c r="D30">
        <v>42.38</v>
      </c>
      <c r="E30">
        <f t="shared" si="11"/>
        <v>1.8599999999999994</v>
      </c>
      <c r="F30">
        <f t="shared" si="12"/>
        <v>0</v>
      </c>
      <c r="G30">
        <f t="shared" si="3"/>
        <v>0.95795660036166363</v>
      </c>
      <c r="H30">
        <f t="shared" si="4"/>
        <v>4.204339963833633E-2</v>
      </c>
      <c r="I30">
        <v>14545.2</v>
      </c>
      <c r="J30">
        <v>8812.11</v>
      </c>
      <c r="K30">
        <v>4368.29</v>
      </c>
      <c r="L30">
        <v>1574.99</v>
      </c>
      <c r="M30">
        <v>346.74</v>
      </c>
      <c r="N30">
        <v>487.4</v>
      </c>
      <c r="O30">
        <v>256.69</v>
      </c>
      <c r="P30">
        <v>30391.43</v>
      </c>
      <c r="Q30">
        <f t="shared" si="5"/>
        <v>0.47859544615044441</v>
      </c>
      <c r="R30">
        <f t="shared" si="13"/>
        <v>0.28995377973329983</v>
      </c>
      <c r="S30">
        <f t="shared" si="6"/>
        <v>0.14373426982540802</v>
      </c>
      <c r="T30">
        <f t="shared" si="7"/>
        <v>5.1823491030201604E-2</v>
      </c>
      <c r="U30">
        <f t="shared" si="8"/>
        <v>1.1409137378530724E-2</v>
      </c>
      <c r="V30">
        <f t="shared" si="9"/>
        <v>1.6037415810970394E-2</v>
      </c>
      <c r="W30">
        <f t="shared" si="10"/>
        <v>8.4461310310176251E-3</v>
      </c>
    </row>
    <row r="31" spans="1:23" x14ac:dyDescent="0.25">
      <c r="A31" t="s">
        <v>148</v>
      </c>
      <c r="B31">
        <v>0.78</v>
      </c>
      <c r="C31">
        <v>0</v>
      </c>
      <c r="D31">
        <v>0.6</v>
      </c>
      <c r="E31">
        <f t="shared" si="11"/>
        <v>0.18000000000000005</v>
      </c>
      <c r="F31">
        <f t="shared" si="12"/>
        <v>0</v>
      </c>
      <c r="G31">
        <f t="shared" si="3"/>
        <v>0.76923076923076916</v>
      </c>
      <c r="H31">
        <f t="shared" si="4"/>
        <v>0.23076923076923084</v>
      </c>
      <c r="I31">
        <v>2095.5300000000002</v>
      </c>
      <c r="J31">
        <v>282.70999999999998</v>
      </c>
      <c r="K31">
        <v>993.06</v>
      </c>
      <c r="L31">
        <v>361.02</v>
      </c>
      <c r="M31">
        <v>86.89</v>
      </c>
      <c r="N31">
        <v>67.25</v>
      </c>
      <c r="O31">
        <v>4.72</v>
      </c>
      <c r="P31">
        <v>3891.18</v>
      </c>
      <c r="Q31">
        <f t="shared" si="5"/>
        <v>0.53853329838249586</v>
      </c>
      <c r="R31">
        <f t="shared" si="13"/>
        <v>7.2654053526179721E-2</v>
      </c>
      <c r="S31">
        <f t="shared" si="6"/>
        <v>0.25520793178418888</v>
      </c>
      <c r="T31">
        <f t="shared" si="7"/>
        <v>9.2779054168658351E-2</v>
      </c>
      <c r="U31">
        <f t="shared" si="8"/>
        <v>2.232998730462225E-2</v>
      </c>
      <c r="V31">
        <f t="shared" si="9"/>
        <v>1.7282675178223572E-2</v>
      </c>
      <c r="W31">
        <f t="shared" si="10"/>
        <v>1.2129996556314536E-3</v>
      </c>
    </row>
    <row r="32" spans="1:23" x14ac:dyDescent="0.25">
      <c r="A32" t="s">
        <v>32</v>
      </c>
      <c r="B32">
        <v>149.79</v>
      </c>
      <c r="C32">
        <v>0</v>
      </c>
      <c r="D32">
        <v>149.79</v>
      </c>
      <c r="E32">
        <f t="shared" si="11"/>
        <v>0</v>
      </c>
      <c r="F32">
        <f t="shared" si="12"/>
        <v>0</v>
      </c>
      <c r="G32">
        <f t="shared" si="3"/>
        <v>1</v>
      </c>
      <c r="H32">
        <f t="shared" si="4"/>
        <v>0</v>
      </c>
      <c r="I32">
        <v>22917.83</v>
      </c>
      <c r="J32">
        <v>25576.57</v>
      </c>
      <c r="K32">
        <v>9589.85</v>
      </c>
      <c r="L32">
        <v>1929.35</v>
      </c>
      <c r="M32">
        <v>559.61</v>
      </c>
      <c r="N32">
        <v>373.69</v>
      </c>
      <c r="O32">
        <v>690.57</v>
      </c>
      <c r="P32">
        <v>61637.47</v>
      </c>
      <c r="Q32">
        <f t="shared" si="5"/>
        <v>0.37181652653815933</v>
      </c>
      <c r="R32">
        <f t="shared" si="13"/>
        <v>0.41495165197403461</v>
      </c>
      <c r="S32">
        <f t="shared" si="6"/>
        <v>0.15558474414994647</v>
      </c>
      <c r="T32">
        <f t="shared" si="7"/>
        <v>3.1301576784381314E-2</v>
      </c>
      <c r="U32">
        <f t="shared" si="8"/>
        <v>9.07905532138162E-3</v>
      </c>
      <c r="V32">
        <f t="shared" si="9"/>
        <v>6.0627082844250417E-3</v>
      </c>
      <c r="W32">
        <f t="shared" si="10"/>
        <v>1.1203736947671603E-2</v>
      </c>
    </row>
    <row r="33" spans="1:23" x14ac:dyDescent="0.25">
      <c r="A33" t="s">
        <v>33</v>
      </c>
      <c r="B33">
        <v>16.62</v>
      </c>
      <c r="C33">
        <v>0</v>
      </c>
      <c r="D33">
        <v>15.6</v>
      </c>
      <c r="E33">
        <f t="shared" si="11"/>
        <v>1.0200000000000014</v>
      </c>
      <c r="F33">
        <f t="shared" si="12"/>
        <v>0</v>
      </c>
      <c r="G33">
        <f t="shared" si="3"/>
        <v>0.93862815884476525</v>
      </c>
      <c r="H33">
        <f t="shared" si="4"/>
        <v>6.1371841155234731E-2</v>
      </c>
      <c r="I33">
        <v>6847.28</v>
      </c>
      <c r="J33">
        <v>16505.490000000002</v>
      </c>
      <c r="K33">
        <v>3880.7</v>
      </c>
      <c r="L33">
        <v>506.18</v>
      </c>
      <c r="M33">
        <v>173.41</v>
      </c>
      <c r="N33">
        <v>84.19</v>
      </c>
      <c r="O33">
        <v>399.21</v>
      </c>
      <c r="P33">
        <v>28396.46</v>
      </c>
      <c r="Q33">
        <f t="shared" si="5"/>
        <v>0.24113146497838112</v>
      </c>
      <c r="R33">
        <f t="shared" si="13"/>
        <v>0.5812516771456725</v>
      </c>
      <c r="S33">
        <f t="shared" si="6"/>
        <v>0.13666140075206556</v>
      </c>
      <c r="T33">
        <f t="shared" si="7"/>
        <v>1.7825461342716665E-2</v>
      </c>
      <c r="U33">
        <f t="shared" si="8"/>
        <v>6.1067471086184684E-3</v>
      </c>
      <c r="V33">
        <f t="shared" si="9"/>
        <v>2.9648061765445411E-3</v>
      </c>
      <c r="W33">
        <f t="shared" si="10"/>
        <v>1.4058442496001262E-2</v>
      </c>
    </row>
    <row r="34" spans="1:23" x14ac:dyDescent="0.25">
      <c r="A34" t="s">
        <v>34</v>
      </c>
      <c r="B34">
        <v>0.4</v>
      </c>
      <c r="C34">
        <v>0</v>
      </c>
      <c r="D34">
        <v>0.4</v>
      </c>
      <c r="E34">
        <f t="shared" si="11"/>
        <v>0</v>
      </c>
      <c r="F34">
        <f t="shared" si="12"/>
        <v>0</v>
      </c>
      <c r="G34">
        <f t="shared" si="3"/>
        <v>1</v>
      </c>
      <c r="H34">
        <f t="shared" si="4"/>
        <v>0</v>
      </c>
      <c r="I34">
        <v>16413.87</v>
      </c>
      <c r="J34">
        <v>3915.9</v>
      </c>
      <c r="K34">
        <v>13807.54</v>
      </c>
      <c r="L34">
        <v>1742.43</v>
      </c>
      <c r="M34">
        <v>1452.01</v>
      </c>
      <c r="N34">
        <v>198.1</v>
      </c>
      <c r="O34">
        <v>668.52</v>
      </c>
      <c r="P34">
        <v>38198.379999999997</v>
      </c>
      <c r="Q34">
        <f t="shared" si="5"/>
        <v>0.42970068364155756</v>
      </c>
      <c r="R34">
        <f t="shared" si="13"/>
        <v>0.10251481869126387</v>
      </c>
      <c r="S34">
        <f t="shared" si="6"/>
        <v>0.36146925602604096</v>
      </c>
      <c r="T34">
        <f t="shared" si="7"/>
        <v>4.561528525555273E-2</v>
      </c>
      <c r="U34">
        <f t="shared" si="8"/>
        <v>3.8012345026150328E-2</v>
      </c>
      <c r="V34">
        <f t="shared" si="9"/>
        <v>5.1860838077426325E-3</v>
      </c>
      <c r="W34">
        <f t="shared" si="10"/>
        <v>1.7501265760485132E-2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EE81-AF77-4565-8BB9-8AB634E520A1}">
  <dimension ref="A1:R34"/>
  <sheetViews>
    <sheetView workbookViewId="0">
      <selection activeCell="K1" sqref="K1"/>
    </sheetView>
  </sheetViews>
  <sheetFormatPr defaultRowHeight="15" x14ac:dyDescent="0.25"/>
  <cols>
    <col min="2" max="2" width="23.85546875" customWidth="1"/>
    <col min="3" max="3" width="15.7109375" customWidth="1"/>
    <col min="4" max="4" width="17" customWidth="1"/>
    <col min="5" max="5" width="26.28515625" customWidth="1"/>
    <col min="6" max="6" width="10.28515625" customWidth="1"/>
    <col min="7" max="7" width="12.85546875" customWidth="1"/>
    <col min="10" max="10" width="17.7109375" customWidth="1"/>
    <col min="11" max="11" width="21.85546875" customWidth="1"/>
    <col min="12" max="12" width="13.42578125" customWidth="1"/>
    <col min="17" max="17" width="11.42578125" customWidth="1"/>
    <col min="18" max="18" width="10.7109375" customWidth="1"/>
  </cols>
  <sheetData>
    <row r="1" spans="1:18" ht="75" x14ac:dyDescent="0.25">
      <c r="A1" s="33" t="s">
        <v>0</v>
      </c>
      <c r="B1" s="34" t="s">
        <v>1</v>
      </c>
      <c r="C1" s="33" t="s">
        <v>150</v>
      </c>
      <c r="D1" s="33" t="s">
        <v>151</v>
      </c>
      <c r="E1" s="33" t="s">
        <v>152</v>
      </c>
      <c r="F1" s="33" t="s">
        <v>153</v>
      </c>
      <c r="G1" s="33" t="s">
        <v>154</v>
      </c>
      <c r="H1" s="33" t="s">
        <v>155</v>
      </c>
      <c r="I1" s="33" t="s">
        <v>156</v>
      </c>
      <c r="J1" s="33" t="s">
        <v>157</v>
      </c>
      <c r="K1" s="33" t="s">
        <v>158</v>
      </c>
      <c r="L1" s="33" t="s">
        <v>159</v>
      </c>
      <c r="M1" s="5" t="s">
        <v>79</v>
      </c>
      <c r="N1" s="5" t="s">
        <v>83</v>
      </c>
      <c r="O1" s="5" t="s">
        <v>80</v>
      </c>
      <c r="P1" s="5" t="s">
        <v>77</v>
      </c>
      <c r="Q1" s="33" t="s">
        <v>120</v>
      </c>
      <c r="R1" s="33" t="s">
        <v>121</v>
      </c>
    </row>
    <row r="2" spans="1:18" x14ac:dyDescent="0.25">
      <c r="A2">
        <v>1</v>
      </c>
      <c r="B2" s="35" t="s">
        <v>2</v>
      </c>
      <c r="C2">
        <v>5.0142069196055503E-2</v>
      </c>
      <c r="D2">
        <v>0.18658421081954427</v>
      </c>
      <c r="E2">
        <v>0.76327371998440019</v>
      </c>
      <c r="F2">
        <v>0.5792475393248091</v>
      </c>
      <c r="G2">
        <v>9.2899619603153571E-2</v>
      </c>
      <c r="H2">
        <v>0.17910576980309187</v>
      </c>
      <c r="I2">
        <v>7.5164901762379138E-2</v>
      </c>
      <c r="J2">
        <v>3.2325615371712114E-2</v>
      </c>
      <c r="K2">
        <v>3.7671733213568752E-2</v>
      </c>
      <c r="L2">
        <v>3.5848209212854493E-3</v>
      </c>
      <c r="M2">
        <v>14607</v>
      </c>
      <c r="N2" s="23">
        <v>99.98</v>
      </c>
      <c r="O2">
        <v>34.130000000000003</v>
      </c>
      <c r="P2">
        <v>1029.3599999999999</v>
      </c>
      <c r="Q2">
        <v>0</v>
      </c>
      <c r="R2">
        <v>45632.639999999999</v>
      </c>
    </row>
    <row r="3" spans="1:18" x14ac:dyDescent="0.25">
      <c r="A3">
        <v>2</v>
      </c>
      <c r="B3" s="36" t="s">
        <v>3</v>
      </c>
      <c r="C3">
        <v>0</v>
      </c>
      <c r="D3">
        <v>0.98081500523659904</v>
      </c>
      <c r="E3">
        <v>1.9184994763400937E-2</v>
      </c>
      <c r="F3">
        <v>0.49535297024540853</v>
      </c>
      <c r="G3">
        <v>0.2480576926854996</v>
      </c>
      <c r="H3">
        <v>0.14979908207939091</v>
      </c>
      <c r="I3">
        <v>4.7171507889371973E-2</v>
      </c>
      <c r="J3">
        <v>1.2652010765996738E-2</v>
      </c>
      <c r="K3">
        <v>3.1395786390776663E-2</v>
      </c>
      <c r="L3">
        <v>1.5570194328961347E-2</v>
      </c>
      <c r="M3">
        <v>30425.95</v>
      </c>
      <c r="N3" s="23">
        <v>99.81</v>
      </c>
      <c r="O3">
        <v>4.13</v>
      </c>
      <c r="P3">
        <v>1156.74</v>
      </c>
      <c r="Q3">
        <v>0</v>
      </c>
      <c r="R3">
        <v>2209.96</v>
      </c>
    </row>
    <row r="4" spans="1:18" x14ac:dyDescent="0.25">
      <c r="A4">
        <v>3</v>
      </c>
      <c r="B4" s="37" t="s">
        <v>4</v>
      </c>
      <c r="C4">
        <v>0</v>
      </c>
      <c r="D4">
        <v>0.7456073338426279</v>
      </c>
      <c r="E4">
        <v>0.2543926661573721</v>
      </c>
      <c r="F4">
        <v>0.48102824150378676</v>
      </c>
      <c r="G4">
        <v>0.20914183443380488</v>
      </c>
      <c r="H4">
        <v>0.19386331233505566</v>
      </c>
      <c r="I4">
        <v>5.9913344186375721E-2</v>
      </c>
      <c r="J4">
        <v>2.2209976035673477E-2</v>
      </c>
      <c r="K4">
        <v>2.4935033418607238E-2</v>
      </c>
      <c r="L4">
        <v>8.9107859692407251E-3</v>
      </c>
      <c r="M4">
        <v>11518.76</v>
      </c>
      <c r="N4" s="23">
        <v>98.88</v>
      </c>
      <c r="O4">
        <v>11.16</v>
      </c>
      <c r="P4">
        <v>1119.24</v>
      </c>
      <c r="Q4">
        <v>0</v>
      </c>
      <c r="R4">
        <v>8549.08</v>
      </c>
    </row>
    <row r="5" spans="1:18" x14ac:dyDescent="0.25">
      <c r="A5">
        <v>4</v>
      </c>
      <c r="B5" t="s">
        <v>5</v>
      </c>
      <c r="C5">
        <v>0.12326006949441784</v>
      </c>
      <c r="D5">
        <v>0.63531879022143634</v>
      </c>
      <c r="E5">
        <v>0.24142114028414585</v>
      </c>
      <c r="F5">
        <v>0.38284964971505314</v>
      </c>
      <c r="G5">
        <v>0.38563105738865294</v>
      </c>
      <c r="H5">
        <v>0.1614872590656648</v>
      </c>
      <c r="I5">
        <v>3.8057189008675447E-2</v>
      </c>
      <c r="J5">
        <v>1.4181549239536824E-2</v>
      </c>
      <c r="K5">
        <v>1.3025654288721914E-2</v>
      </c>
      <c r="L5">
        <v>4.7665069512504996E-3</v>
      </c>
      <c r="M5">
        <v>16019.05</v>
      </c>
      <c r="N5" s="23">
        <v>95.19</v>
      </c>
      <c r="O5">
        <v>0.67</v>
      </c>
      <c r="P5">
        <v>987.85</v>
      </c>
      <c r="Q5">
        <v>1650.95</v>
      </c>
      <c r="R5">
        <v>86926.95</v>
      </c>
    </row>
    <row r="6" spans="1:18" x14ac:dyDescent="0.25">
      <c r="A6">
        <v>5</v>
      </c>
      <c r="B6" t="s">
        <v>6</v>
      </c>
      <c r="C6">
        <v>0.15215823013105687</v>
      </c>
      <c r="D6">
        <v>5.4106047853793434E-3</v>
      </c>
      <c r="E6">
        <v>0.84243116508356375</v>
      </c>
      <c r="F6">
        <v>0.52254035518135433</v>
      </c>
      <c r="G6">
        <v>3.9384054940663715E-2</v>
      </c>
      <c r="H6">
        <v>0.31027721244900425</v>
      </c>
      <c r="I6">
        <v>4.7738530021281145E-2</v>
      </c>
      <c r="J6">
        <v>4.337078442852231E-2</v>
      </c>
      <c r="K6">
        <v>2.207105485702603E-2</v>
      </c>
      <c r="L6">
        <v>1.4627301197877463E-2</v>
      </c>
      <c r="M6">
        <v>2573.75</v>
      </c>
      <c r="N6" s="23">
        <v>99.49</v>
      </c>
      <c r="O6">
        <v>0.08</v>
      </c>
      <c r="P6">
        <v>1320.95</v>
      </c>
      <c r="Q6">
        <v>0</v>
      </c>
      <c r="R6">
        <v>115480.15</v>
      </c>
    </row>
    <row r="7" spans="1:18" x14ac:dyDescent="0.25">
      <c r="A7">
        <v>6</v>
      </c>
      <c r="B7" t="s">
        <v>7</v>
      </c>
      <c r="C7">
        <v>0</v>
      </c>
      <c r="D7">
        <v>0.93439020561921204</v>
      </c>
      <c r="E7">
        <v>6.5609794380787942E-2</v>
      </c>
      <c r="F7">
        <v>0.56908116439986067</v>
      </c>
      <c r="G7">
        <v>0.16930500478232369</v>
      </c>
      <c r="H7">
        <v>0.15265668442958316</v>
      </c>
      <c r="I7">
        <v>4.3208255994792409E-2</v>
      </c>
      <c r="J7">
        <v>1.9660493400700384E-2</v>
      </c>
      <c r="K7">
        <v>2.1578028638672805E-2</v>
      </c>
      <c r="L7">
        <v>2.4510368354066971E-2</v>
      </c>
      <c r="M7">
        <v>16177.51</v>
      </c>
      <c r="N7" s="23">
        <v>98.1</v>
      </c>
      <c r="O7">
        <v>8.17</v>
      </c>
      <c r="P7">
        <v>1176.19</v>
      </c>
      <c r="Q7">
        <v>0</v>
      </c>
      <c r="R7">
        <v>0</v>
      </c>
    </row>
    <row r="8" spans="1:18" x14ac:dyDescent="0.25">
      <c r="A8">
        <v>7</v>
      </c>
      <c r="B8" t="s">
        <v>8</v>
      </c>
      <c r="C8">
        <v>0.20849622100599427</v>
      </c>
      <c r="D8">
        <v>0.51342194422726095</v>
      </c>
      <c r="E8">
        <v>0.27808183476674481</v>
      </c>
      <c r="F8">
        <v>0.63396552544361806</v>
      </c>
      <c r="G8">
        <v>7.8384421433215459E-2</v>
      </c>
      <c r="H8">
        <v>0.19084695770761642</v>
      </c>
      <c r="I8">
        <v>4.8377761215331189E-2</v>
      </c>
      <c r="J8">
        <v>2.2454448866970077E-2</v>
      </c>
      <c r="K8">
        <v>1.7982588287531121E-2</v>
      </c>
      <c r="L8">
        <v>7.9882970457176381E-3</v>
      </c>
      <c r="M8">
        <v>9786.82</v>
      </c>
      <c r="N8" s="23">
        <v>95.83</v>
      </c>
      <c r="O8">
        <v>5.89</v>
      </c>
      <c r="P8">
        <v>1247.6300000000001</v>
      </c>
      <c r="Q8">
        <v>472.74</v>
      </c>
      <c r="R8">
        <v>0</v>
      </c>
    </row>
    <row r="9" spans="1:18" x14ac:dyDescent="0.25">
      <c r="A9">
        <v>8</v>
      </c>
      <c r="B9" t="s">
        <v>9</v>
      </c>
      <c r="C9">
        <v>6.1462814996926858E-2</v>
      </c>
      <c r="D9">
        <v>0.63952059004302397</v>
      </c>
      <c r="E9">
        <v>0.29901659496004918</v>
      </c>
      <c r="F9">
        <v>0.69597027908073272</v>
      </c>
      <c r="G9">
        <v>6.940842688865223E-2</v>
      </c>
      <c r="H9">
        <v>0.15192137288535174</v>
      </c>
      <c r="I9">
        <v>4.5028493386770292E-2</v>
      </c>
      <c r="J9">
        <v>2.8330799684581059E-2</v>
      </c>
      <c r="K9">
        <v>6.4140605311720092E-3</v>
      </c>
      <c r="L9">
        <v>2.9265675427400805E-3</v>
      </c>
      <c r="M9">
        <v>4881.8999999999996</v>
      </c>
      <c r="N9" s="23">
        <v>99.06</v>
      </c>
      <c r="O9">
        <v>4.42</v>
      </c>
      <c r="P9">
        <v>1124.48</v>
      </c>
      <c r="Q9">
        <v>0</v>
      </c>
      <c r="R9">
        <v>9051.67</v>
      </c>
    </row>
    <row r="10" spans="1:18" x14ac:dyDescent="0.25">
      <c r="A10">
        <v>9</v>
      </c>
      <c r="B10" s="24" t="s">
        <v>10</v>
      </c>
      <c r="C10">
        <v>3.2366824005394472E-2</v>
      </c>
      <c r="D10">
        <v>0.39919082939986517</v>
      </c>
      <c r="E10">
        <v>0.56844234659474036</v>
      </c>
      <c r="F10">
        <v>0.53866331973642922</v>
      </c>
      <c r="G10">
        <v>0.21958581738311894</v>
      </c>
      <c r="H10">
        <v>0.16417947913398181</v>
      </c>
      <c r="I10">
        <v>4.1311578286790086E-2</v>
      </c>
      <c r="J10">
        <v>2.481957954188892E-2</v>
      </c>
      <c r="K10">
        <v>6.6582993410731093E-3</v>
      </c>
      <c r="L10">
        <v>4.7693755883275804E-3</v>
      </c>
      <c r="M10">
        <v>6173.74</v>
      </c>
      <c r="N10" s="23">
        <v>99.99</v>
      </c>
      <c r="O10">
        <v>22.13</v>
      </c>
      <c r="P10">
        <v>1277.26</v>
      </c>
      <c r="Q10">
        <v>708424.43</v>
      </c>
      <c r="R10">
        <v>134381.68</v>
      </c>
    </row>
    <row r="11" spans="1:18" x14ac:dyDescent="0.25">
      <c r="A11">
        <v>10</v>
      </c>
      <c r="B11" s="38" t="s">
        <v>11</v>
      </c>
      <c r="C11">
        <v>0</v>
      </c>
      <c r="D11">
        <v>0.90465465465465467</v>
      </c>
      <c r="E11">
        <v>9.5345345345345306E-2</v>
      </c>
      <c r="F11">
        <v>0.56770446523193996</v>
      </c>
      <c r="G11">
        <v>0.1923496082178292</v>
      </c>
      <c r="H11">
        <v>0.15180119662541619</v>
      </c>
      <c r="I11">
        <v>5.0418485108939641E-2</v>
      </c>
      <c r="J11">
        <v>1.3027695953670402E-2</v>
      </c>
      <c r="K11">
        <v>2.2143411467243006E-2</v>
      </c>
      <c r="L11">
        <v>2.5551373949614892E-3</v>
      </c>
      <c r="M11">
        <v>15019</v>
      </c>
      <c r="N11" s="23">
        <v>99.79</v>
      </c>
      <c r="O11">
        <v>9.5500000000000007</v>
      </c>
      <c r="P11">
        <v>1080.4100000000001</v>
      </c>
      <c r="Q11">
        <v>0</v>
      </c>
      <c r="R11">
        <v>792.09</v>
      </c>
    </row>
    <row r="12" spans="1:18" x14ac:dyDescent="0.25">
      <c r="A12">
        <v>11</v>
      </c>
      <c r="B12" s="22" t="s">
        <v>12</v>
      </c>
      <c r="C12">
        <v>0.17369261102243919</v>
      </c>
      <c r="D12">
        <v>0.20467561731292835</v>
      </c>
      <c r="E12">
        <v>0.62163177166463246</v>
      </c>
      <c r="F12">
        <v>0.61867708652282249</v>
      </c>
      <c r="G12">
        <v>8.0340012416183743E-2</v>
      </c>
      <c r="H12">
        <v>0.21034756887189701</v>
      </c>
      <c r="I12">
        <v>4.9375398539834324E-2</v>
      </c>
      <c r="J12">
        <v>2.5189122074682505E-2</v>
      </c>
      <c r="K12">
        <v>1.3199920221805854E-2</v>
      </c>
      <c r="L12">
        <v>2.8708913527741185E-3</v>
      </c>
      <c r="M12">
        <v>16051.12</v>
      </c>
      <c r="N12" s="23">
        <v>94.3</v>
      </c>
      <c r="O12">
        <v>20.3</v>
      </c>
      <c r="P12">
        <v>1170.98</v>
      </c>
      <c r="Q12">
        <v>0</v>
      </c>
      <c r="R12">
        <v>55927.33</v>
      </c>
    </row>
    <row r="13" spans="1:18" x14ac:dyDescent="0.25">
      <c r="A13">
        <v>12</v>
      </c>
      <c r="B13" t="s">
        <v>13</v>
      </c>
      <c r="C13">
        <v>0</v>
      </c>
      <c r="D13">
        <v>0.14652014652014653</v>
      </c>
      <c r="E13">
        <v>0.85347985347985345</v>
      </c>
      <c r="F13">
        <v>0.52407254491259159</v>
      </c>
      <c r="G13">
        <v>0.20101154032063162</v>
      </c>
      <c r="H13">
        <v>0.17568778699750262</v>
      </c>
      <c r="I13">
        <v>4.8399359542415213E-2</v>
      </c>
      <c r="J13">
        <v>2.5192842181583821E-2</v>
      </c>
      <c r="K13">
        <v>1.7343208732780151E-2</v>
      </c>
      <c r="L13">
        <v>8.2927173124949655E-3</v>
      </c>
      <c r="M13">
        <v>9909.82</v>
      </c>
      <c r="N13" s="23">
        <v>99.22</v>
      </c>
      <c r="O13">
        <v>12.25</v>
      </c>
      <c r="P13">
        <v>1141.93</v>
      </c>
      <c r="Q13">
        <v>0</v>
      </c>
      <c r="R13">
        <v>3629.6099999999997</v>
      </c>
    </row>
    <row r="14" spans="1:18" x14ac:dyDescent="0.25">
      <c r="A14">
        <v>13</v>
      </c>
      <c r="B14" t="s">
        <v>14</v>
      </c>
      <c r="C14">
        <v>0</v>
      </c>
      <c r="D14">
        <v>0.29998280900807972</v>
      </c>
      <c r="E14">
        <v>0.70001719099192017</v>
      </c>
      <c r="F14">
        <v>0.59571145565909966</v>
      </c>
      <c r="G14">
        <v>9.6848531403505217E-2</v>
      </c>
      <c r="H14">
        <v>0.2048252440922598</v>
      </c>
      <c r="I14">
        <v>5.0021225413895573E-2</v>
      </c>
      <c r="J14">
        <v>3.6512765570357195E-2</v>
      </c>
      <c r="K14">
        <v>1.2401706118983606E-2</v>
      </c>
      <c r="L14">
        <v>3.6841254118741029E-3</v>
      </c>
      <c r="M14">
        <v>9715.9</v>
      </c>
      <c r="N14" s="23">
        <v>94.58</v>
      </c>
      <c r="O14">
        <v>11.31</v>
      </c>
      <c r="P14">
        <v>1212.96</v>
      </c>
      <c r="Q14">
        <v>0</v>
      </c>
      <c r="R14">
        <v>10496.08</v>
      </c>
    </row>
    <row r="15" spans="1:18" x14ac:dyDescent="0.25">
      <c r="A15">
        <v>14</v>
      </c>
      <c r="B15" t="s">
        <v>15</v>
      </c>
      <c r="C15">
        <v>9.3586337760910812E-2</v>
      </c>
      <c r="D15">
        <v>0.58998102466793167</v>
      </c>
      <c r="E15">
        <v>0.31643263757115747</v>
      </c>
      <c r="F15">
        <v>0.48274413957222778</v>
      </c>
      <c r="G15">
        <v>0.20805343210528093</v>
      </c>
      <c r="H15">
        <v>0.21130846550034674</v>
      </c>
      <c r="I15">
        <v>4.5074891512295275E-2</v>
      </c>
      <c r="J15">
        <v>3.4839959517231726E-2</v>
      </c>
      <c r="K15">
        <v>9.1649383184848245E-3</v>
      </c>
      <c r="L15">
        <v>8.8173915002276761E-3</v>
      </c>
      <c r="M15">
        <v>12187.87</v>
      </c>
      <c r="N15" s="23">
        <v>95.66</v>
      </c>
      <c r="O15">
        <v>27.96</v>
      </c>
      <c r="P15">
        <v>1265.5</v>
      </c>
      <c r="Q15">
        <v>0</v>
      </c>
      <c r="R15">
        <v>16976.23</v>
      </c>
    </row>
    <row r="16" spans="1:18" x14ac:dyDescent="0.25">
      <c r="A16">
        <v>15</v>
      </c>
      <c r="B16" t="s">
        <v>16</v>
      </c>
      <c r="C16">
        <v>0.14117335452257979</v>
      </c>
      <c r="D16">
        <v>8.608131373328036E-2</v>
      </c>
      <c r="E16">
        <v>0.77274533174413995</v>
      </c>
      <c r="F16">
        <v>0.48675023911948584</v>
      </c>
      <c r="G16">
        <v>0.19192861994556853</v>
      </c>
      <c r="H16">
        <v>0.2149718832450016</v>
      </c>
      <c r="I16">
        <v>5.1723739597724784E-2</v>
      </c>
      <c r="J16">
        <v>2.5205735171126377E-2</v>
      </c>
      <c r="K16">
        <v>1.7845013607862524E-2</v>
      </c>
      <c r="L16">
        <v>1.1574769313230353E-2</v>
      </c>
      <c r="M16">
        <v>5965.29</v>
      </c>
      <c r="N16" s="23">
        <v>99.39</v>
      </c>
      <c r="O16">
        <v>2.5099999999999998</v>
      </c>
      <c r="P16">
        <v>1158.6500000000001</v>
      </c>
      <c r="Q16">
        <v>0</v>
      </c>
      <c r="R16">
        <v>32479.22</v>
      </c>
    </row>
    <row r="17" spans="1:18" x14ac:dyDescent="0.25">
      <c r="A17">
        <v>16</v>
      </c>
      <c r="B17" t="s">
        <v>17</v>
      </c>
      <c r="C17">
        <v>0.23217194390369869</v>
      </c>
      <c r="D17">
        <v>0.25803504032418262</v>
      </c>
      <c r="E17">
        <v>0.50979301577211866</v>
      </c>
      <c r="F17">
        <v>0.6459808713191697</v>
      </c>
      <c r="G17">
        <v>9.1066263257638738E-2</v>
      </c>
      <c r="H17">
        <v>0.14706143121543594</v>
      </c>
      <c r="I17">
        <v>5.1617515044718565E-2</v>
      </c>
      <c r="J17">
        <v>3.652292449379925E-2</v>
      </c>
      <c r="K17">
        <v>1.6075406456760984E-2</v>
      </c>
      <c r="L17">
        <v>1.1686670878079597E-2</v>
      </c>
      <c r="M17">
        <v>8612.59</v>
      </c>
      <c r="N17" s="23">
        <v>98.94</v>
      </c>
      <c r="O17">
        <v>0.89</v>
      </c>
      <c r="P17">
        <v>1159.04</v>
      </c>
      <c r="Q17">
        <v>0</v>
      </c>
      <c r="R17">
        <v>151147.06</v>
      </c>
    </row>
    <row r="18" spans="1:18" x14ac:dyDescent="0.25">
      <c r="A18">
        <v>17</v>
      </c>
      <c r="B18" t="s">
        <v>18</v>
      </c>
      <c r="C18">
        <v>0</v>
      </c>
      <c r="D18">
        <v>0.80264400377714828</v>
      </c>
      <c r="E18">
        <v>0.19735599622285174</v>
      </c>
      <c r="F18">
        <v>0.61395976288378973</v>
      </c>
      <c r="G18">
        <v>0.10971164697183922</v>
      </c>
      <c r="H18">
        <v>0.1481327747006862</v>
      </c>
      <c r="I18">
        <v>5.3960800591493399E-2</v>
      </c>
      <c r="J18">
        <v>5.1340588639694915E-2</v>
      </c>
      <c r="K18">
        <v>1.4047968038602728E-2</v>
      </c>
      <c r="L18">
        <v>8.8464581738938695E-3</v>
      </c>
      <c r="M18">
        <v>2582.33</v>
      </c>
      <c r="N18" s="23">
        <v>99.55</v>
      </c>
      <c r="O18">
        <v>1.1599999999999999</v>
      </c>
      <c r="P18">
        <v>1102.01</v>
      </c>
      <c r="Q18">
        <v>0</v>
      </c>
      <c r="R18">
        <v>0</v>
      </c>
    </row>
    <row r="19" spans="1:18" x14ac:dyDescent="0.25">
      <c r="A19">
        <v>18</v>
      </c>
      <c r="B19" t="s">
        <v>19</v>
      </c>
      <c r="C19">
        <v>0.25862068965517243</v>
      </c>
      <c r="D19">
        <v>0.63793103448275867</v>
      </c>
      <c r="E19">
        <v>0.10344827586206896</v>
      </c>
      <c r="F19">
        <v>0.43697430876433579</v>
      </c>
      <c r="G19">
        <v>0.31294868051141994</v>
      </c>
      <c r="H19">
        <v>0.16161029710680158</v>
      </c>
      <c r="I19">
        <v>4.8294026372594494E-2</v>
      </c>
      <c r="J19">
        <v>2.0346863172841841E-2</v>
      </c>
      <c r="K19">
        <v>1.4963555891463547E-2</v>
      </c>
      <c r="L19">
        <v>4.8622681805429117E-3</v>
      </c>
      <c r="M19">
        <v>17332.82</v>
      </c>
      <c r="N19" s="23">
        <v>97.03</v>
      </c>
      <c r="O19">
        <v>22.51</v>
      </c>
      <c r="P19">
        <v>1143</v>
      </c>
      <c r="Q19">
        <v>0</v>
      </c>
      <c r="R19">
        <v>27822.1</v>
      </c>
    </row>
    <row r="20" spans="1:18" x14ac:dyDescent="0.25">
      <c r="A20">
        <v>19</v>
      </c>
      <c r="B20" t="s">
        <v>20</v>
      </c>
      <c r="C20">
        <v>3.0360531309297917E-2</v>
      </c>
      <c r="D20">
        <v>0.37950664136622392</v>
      </c>
      <c r="E20">
        <v>0.59013282732447825</v>
      </c>
      <c r="F20">
        <v>0.58162999851345321</v>
      </c>
      <c r="G20">
        <v>0.14610896387691391</v>
      </c>
      <c r="H20">
        <v>0.17122541003914574</v>
      </c>
      <c r="I20">
        <v>4.5822803627174079E-2</v>
      </c>
      <c r="J20">
        <v>3.393662355681086E-2</v>
      </c>
      <c r="K20">
        <v>1.4308012486992717E-2</v>
      </c>
      <c r="L20">
        <v>6.9681878995094398E-3</v>
      </c>
      <c r="M20">
        <v>7392</v>
      </c>
      <c r="N20" s="23">
        <v>93.2</v>
      </c>
      <c r="O20">
        <v>18.670000000000002</v>
      </c>
      <c r="P20">
        <v>1196.32</v>
      </c>
      <c r="Q20">
        <v>0</v>
      </c>
      <c r="R20">
        <v>18156.11</v>
      </c>
    </row>
    <row r="21" spans="1:18" x14ac:dyDescent="0.25">
      <c r="A21">
        <v>20</v>
      </c>
      <c r="B21" t="s">
        <v>21</v>
      </c>
      <c r="C21">
        <v>0</v>
      </c>
      <c r="D21">
        <v>1</v>
      </c>
      <c r="E21">
        <v>0</v>
      </c>
      <c r="F21">
        <v>0.64812704867745274</v>
      </c>
      <c r="G21">
        <v>8.6434468614699653E-2</v>
      </c>
      <c r="H21">
        <v>0.14520850496941226</v>
      </c>
      <c r="I21">
        <v>5.5969429788427491E-2</v>
      </c>
      <c r="J21">
        <v>4.4067380672755001E-2</v>
      </c>
      <c r="K21">
        <v>1.3409525145050746E-2</v>
      </c>
      <c r="L21">
        <v>6.8011709232414239E-3</v>
      </c>
      <c r="M21">
        <v>3988.42</v>
      </c>
      <c r="N21" s="23">
        <v>90.66</v>
      </c>
      <c r="O21">
        <v>4.91</v>
      </c>
      <c r="P21">
        <v>1194.3</v>
      </c>
      <c r="Q21">
        <v>0</v>
      </c>
      <c r="R21">
        <v>9665.98</v>
      </c>
    </row>
    <row r="22" spans="1:18" x14ac:dyDescent="0.25">
      <c r="A22">
        <v>21</v>
      </c>
      <c r="B22" t="s">
        <v>22</v>
      </c>
      <c r="C22">
        <v>0.3074869496817868</v>
      </c>
      <c r="D22">
        <v>0</v>
      </c>
      <c r="E22">
        <v>0.6925130503182132</v>
      </c>
      <c r="F22">
        <v>0.59828383823309961</v>
      </c>
      <c r="G22">
        <v>1.768392777197433E-2</v>
      </c>
      <c r="H22">
        <v>0.2157289956722877</v>
      </c>
      <c r="I22">
        <v>6.1199820922250403E-2</v>
      </c>
      <c r="J22">
        <v>7.7764512759289653E-2</v>
      </c>
      <c r="K22">
        <v>1.0878973287569019E-2</v>
      </c>
      <c r="L22">
        <v>1.8459931353529323E-2</v>
      </c>
      <c r="M22">
        <v>4799.47</v>
      </c>
      <c r="N22" s="23">
        <v>97.49</v>
      </c>
      <c r="O22">
        <v>11.71</v>
      </c>
      <c r="P22">
        <v>1270.5999999999999</v>
      </c>
      <c r="Q22">
        <v>0</v>
      </c>
      <c r="R22">
        <v>0</v>
      </c>
    </row>
    <row r="23" spans="1:18" x14ac:dyDescent="0.25">
      <c r="A23">
        <v>22</v>
      </c>
      <c r="B23" t="s">
        <v>23</v>
      </c>
      <c r="C23">
        <v>0.28738808444788327</v>
      </c>
      <c r="D23">
        <v>2.7633469658450316E-2</v>
      </c>
      <c r="E23">
        <v>0.68497844589366641</v>
      </c>
      <c r="F23">
        <v>0.41417640901652641</v>
      </c>
      <c r="G23">
        <v>0.40152732526425977</v>
      </c>
      <c r="H23">
        <v>9.5664224322212568E-2</v>
      </c>
      <c r="I23">
        <v>2.8784773923427341E-2</v>
      </c>
      <c r="J23">
        <v>3.3052734000678159E-2</v>
      </c>
      <c r="K23">
        <v>8.0199318895490274E-3</v>
      </c>
      <c r="L23">
        <v>1.8767230322418955E-2</v>
      </c>
      <c r="M23">
        <v>3849.17</v>
      </c>
      <c r="N23" s="23">
        <v>88.92</v>
      </c>
      <c r="O23">
        <v>5.07</v>
      </c>
      <c r="P23">
        <v>1052.1500000000001</v>
      </c>
      <c r="Q23">
        <v>111870.91</v>
      </c>
      <c r="R23">
        <v>295679.26</v>
      </c>
    </row>
    <row r="24" spans="1:18" x14ac:dyDescent="0.25">
      <c r="A24">
        <v>23</v>
      </c>
      <c r="B24" t="s">
        <v>24</v>
      </c>
      <c r="C24">
        <v>0.26583961010190521</v>
      </c>
      <c r="D24">
        <v>9.6293014325801202E-2</v>
      </c>
      <c r="E24">
        <v>0.63786737557229356</v>
      </c>
      <c r="F24">
        <v>0.59649416041618786</v>
      </c>
      <c r="G24">
        <v>8.6636162937272342E-3</v>
      </c>
      <c r="H24">
        <v>0.24846610812805991</v>
      </c>
      <c r="I24">
        <v>6.4614977470419041E-2</v>
      </c>
      <c r="J24">
        <v>6.9594467542778343E-2</v>
      </c>
      <c r="K24">
        <v>8.0995062295858324E-3</v>
      </c>
      <c r="L24">
        <v>4.0741282410212479E-3</v>
      </c>
      <c r="M24">
        <v>5419.76</v>
      </c>
      <c r="N24" s="23">
        <v>90.16</v>
      </c>
      <c r="O24">
        <v>0.2</v>
      </c>
      <c r="P24">
        <v>1342</v>
      </c>
      <c r="Q24">
        <v>0</v>
      </c>
      <c r="R24">
        <v>113907.62</v>
      </c>
    </row>
    <row r="25" spans="1:18" x14ac:dyDescent="0.25">
      <c r="A25">
        <v>24</v>
      </c>
      <c r="B25" t="s">
        <v>25</v>
      </c>
      <c r="C25">
        <v>8.1224617307091532E-2</v>
      </c>
      <c r="D25">
        <v>0.23305217119650112</v>
      </c>
      <c r="E25">
        <v>0.68572321149640736</v>
      </c>
      <c r="F25">
        <v>0.59157138099467144</v>
      </c>
      <c r="G25">
        <v>1.9496558614564834E-2</v>
      </c>
      <c r="H25">
        <v>0.23968972024866783</v>
      </c>
      <c r="I25">
        <v>6.4470470692717594E-2</v>
      </c>
      <c r="J25">
        <v>7.2393983126110131E-2</v>
      </c>
      <c r="K25">
        <v>8.5757104795737126E-3</v>
      </c>
      <c r="L25">
        <v>3.7882992895204265E-3</v>
      </c>
      <c r="M25">
        <v>3064.73</v>
      </c>
      <c r="N25" s="23">
        <v>89.65</v>
      </c>
      <c r="O25">
        <v>0.2</v>
      </c>
      <c r="P25">
        <v>1329.45</v>
      </c>
      <c r="Q25">
        <v>0</v>
      </c>
      <c r="R25">
        <v>161432.03</v>
      </c>
    </row>
    <row r="26" spans="1:18" x14ac:dyDescent="0.25">
      <c r="A26">
        <v>25</v>
      </c>
      <c r="B26" t="s">
        <v>26</v>
      </c>
      <c r="C26">
        <v>0</v>
      </c>
      <c r="D26">
        <v>1</v>
      </c>
      <c r="E26">
        <v>0</v>
      </c>
      <c r="F26">
        <v>0.43466696615425071</v>
      </c>
      <c r="G26">
        <v>3.1138034557945369E-2</v>
      </c>
      <c r="H26">
        <v>0.46416558011110259</v>
      </c>
      <c r="I26">
        <v>3.2726779668445331E-2</v>
      </c>
      <c r="J26">
        <v>1.4616455016599647E-2</v>
      </c>
      <c r="K26">
        <v>8.3080412416316959E-3</v>
      </c>
      <c r="L26">
        <v>1.4378143250024655E-2</v>
      </c>
      <c r="M26">
        <v>8947.6299999999992</v>
      </c>
      <c r="N26" s="23">
        <v>100</v>
      </c>
      <c r="O26">
        <v>1.72</v>
      </c>
      <c r="P26">
        <v>1341.67</v>
      </c>
      <c r="Q26">
        <v>72605.3</v>
      </c>
      <c r="R26">
        <v>356165.43</v>
      </c>
    </row>
    <row r="27" spans="1:18" x14ac:dyDescent="0.25">
      <c r="A27">
        <v>26</v>
      </c>
      <c r="B27" t="s">
        <v>27</v>
      </c>
      <c r="C27">
        <v>0.16888747041144711</v>
      </c>
      <c r="D27">
        <v>0.1805234181760153</v>
      </c>
      <c r="E27">
        <v>0.65058911141253761</v>
      </c>
      <c r="F27">
        <v>0.62609485021712996</v>
      </c>
      <c r="G27">
        <v>9.8880878193422658E-2</v>
      </c>
      <c r="H27">
        <v>0.1789368167591382</v>
      </c>
      <c r="I27">
        <v>4.9272202808845027E-2</v>
      </c>
      <c r="J27">
        <v>1.9077294059506575E-2</v>
      </c>
      <c r="K27">
        <v>1.9424281403230839E-2</v>
      </c>
      <c r="L27">
        <v>8.3136765587267306E-3</v>
      </c>
      <c r="M27">
        <v>7269</v>
      </c>
      <c r="N27" s="23">
        <v>99.77</v>
      </c>
      <c r="O27">
        <v>12.99</v>
      </c>
      <c r="P27">
        <v>1011.67</v>
      </c>
      <c r="Q27">
        <v>0</v>
      </c>
      <c r="R27">
        <v>0</v>
      </c>
    </row>
    <row r="28" spans="1:18" x14ac:dyDescent="0.25">
      <c r="A28">
        <v>27</v>
      </c>
      <c r="B28" t="s">
        <v>28</v>
      </c>
      <c r="C28">
        <v>0.16564466034880942</v>
      </c>
      <c r="D28">
        <v>7.809190093175121E-2</v>
      </c>
      <c r="E28">
        <v>0.75626343871943946</v>
      </c>
      <c r="F28">
        <v>0.61689383415627097</v>
      </c>
      <c r="G28">
        <v>2.9226896997538061E-2</v>
      </c>
      <c r="H28">
        <v>0.21828709752843606</v>
      </c>
      <c r="I28">
        <v>6.6795494244020509E-2</v>
      </c>
      <c r="J28">
        <v>3.992050284016669E-2</v>
      </c>
      <c r="K28">
        <v>1.2467850413302707E-2</v>
      </c>
      <c r="L28">
        <v>1.6408323820264897E-2</v>
      </c>
      <c r="M28">
        <v>13694.02</v>
      </c>
      <c r="N28" s="23">
        <v>89.01</v>
      </c>
      <c r="O28">
        <v>3.97</v>
      </c>
      <c r="P28">
        <v>1231.47</v>
      </c>
      <c r="Q28">
        <v>675688.24</v>
      </c>
      <c r="R28">
        <v>495523.72000000003</v>
      </c>
    </row>
    <row r="29" spans="1:18" x14ac:dyDescent="0.25">
      <c r="A29">
        <v>28</v>
      </c>
      <c r="B29" t="s">
        <v>29</v>
      </c>
      <c r="C29">
        <v>9.5061728395061731E-2</v>
      </c>
      <c r="D29">
        <v>0.27185185185185184</v>
      </c>
      <c r="E29">
        <v>0.63308641975308644</v>
      </c>
      <c r="F29">
        <v>0.3872490964040311</v>
      </c>
      <c r="G29">
        <v>0.40130741580579815</v>
      </c>
      <c r="H29">
        <v>0.13963130395849055</v>
      </c>
      <c r="I29">
        <v>4.2749748148576093E-2</v>
      </c>
      <c r="J29">
        <v>1.1218446356549403E-2</v>
      </c>
      <c r="K29">
        <v>1.2828625487003024E-2</v>
      </c>
      <c r="L29">
        <v>5.0151381662327721E-3</v>
      </c>
      <c r="M29">
        <v>42639.23</v>
      </c>
      <c r="N29" s="23">
        <v>99.56</v>
      </c>
      <c r="O29">
        <v>0.28999999999999998</v>
      </c>
      <c r="P29">
        <v>1096.1099999999999</v>
      </c>
      <c r="Q29">
        <v>578683.82999999996</v>
      </c>
      <c r="R29">
        <v>223388.72</v>
      </c>
    </row>
    <row r="30" spans="1:18" x14ac:dyDescent="0.25">
      <c r="A30">
        <v>29</v>
      </c>
      <c r="B30" t="s">
        <v>30</v>
      </c>
      <c r="C30">
        <v>0</v>
      </c>
      <c r="D30">
        <v>0.95795660036166363</v>
      </c>
      <c r="E30">
        <v>4.204339963833633E-2</v>
      </c>
      <c r="F30">
        <v>0.47859544615044441</v>
      </c>
      <c r="G30">
        <v>0.28995377973329983</v>
      </c>
      <c r="H30">
        <v>0.14373426982540802</v>
      </c>
      <c r="I30">
        <v>5.1823491030201604E-2</v>
      </c>
      <c r="J30">
        <v>1.1409137378530724E-2</v>
      </c>
      <c r="K30">
        <v>1.6037415810970394E-2</v>
      </c>
      <c r="L30">
        <v>8.4461310310176251E-3</v>
      </c>
      <c r="M30">
        <v>49787.31</v>
      </c>
      <c r="N30" s="23">
        <v>99.99</v>
      </c>
      <c r="O30">
        <v>0.4</v>
      </c>
      <c r="P30">
        <v>1055.51</v>
      </c>
      <c r="Q30">
        <v>0</v>
      </c>
      <c r="R30">
        <v>26076.17</v>
      </c>
    </row>
    <row r="31" spans="1:18" x14ac:dyDescent="0.25">
      <c r="A31">
        <v>30</v>
      </c>
      <c r="B31" t="s">
        <v>31</v>
      </c>
      <c r="C31">
        <v>0</v>
      </c>
      <c r="D31">
        <v>0.76923076923076916</v>
      </c>
      <c r="E31">
        <v>0.23076923076923084</v>
      </c>
      <c r="F31">
        <v>0.53853329838249586</v>
      </c>
      <c r="G31">
        <v>7.2654053526179721E-2</v>
      </c>
      <c r="H31">
        <v>0.25520793178418888</v>
      </c>
      <c r="I31">
        <v>9.2779054168658351E-2</v>
      </c>
      <c r="J31">
        <v>2.232998730462225E-2</v>
      </c>
      <c r="K31">
        <v>1.7282675178223572E-2</v>
      </c>
      <c r="L31">
        <v>1.2129996556314536E-3</v>
      </c>
      <c r="M31">
        <v>5933.33</v>
      </c>
      <c r="N31" s="23">
        <v>99.67</v>
      </c>
      <c r="O31">
        <v>0.42</v>
      </c>
      <c r="P31">
        <v>1176.3</v>
      </c>
      <c r="Q31">
        <v>0</v>
      </c>
      <c r="R31">
        <v>213.23</v>
      </c>
    </row>
    <row r="32" spans="1:18" x14ac:dyDescent="0.25">
      <c r="A32">
        <v>31</v>
      </c>
      <c r="B32" t="s">
        <v>32</v>
      </c>
      <c r="C32">
        <v>0</v>
      </c>
      <c r="D32">
        <v>1</v>
      </c>
      <c r="E32">
        <v>0</v>
      </c>
      <c r="F32">
        <v>0.37181652653815933</v>
      </c>
      <c r="G32">
        <v>0.41495165197403461</v>
      </c>
      <c r="H32">
        <v>0.15558474414994647</v>
      </c>
      <c r="I32">
        <v>3.1301576784381314E-2</v>
      </c>
      <c r="J32">
        <v>9.07905532138162E-3</v>
      </c>
      <c r="K32">
        <v>6.0627082844250417E-3</v>
      </c>
      <c r="L32">
        <v>1.1203736947671603E-2</v>
      </c>
      <c r="M32">
        <v>51452.15</v>
      </c>
      <c r="N32" s="23">
        <v>99.99</v>
      </c>
      <c r="O32">
        <v>0.23</v>
      </c>
      <c r="P32">
        <v>1119.01</v>
      </c>
      <c r="Q32">
        <v>0</v>
      </c>
      <c r="R32">
        <v>0</v>
      </c>
    </row>
    <row r="33" spans="1:18" x14ac:dyDescent="0.25">
      <c r="A33">
        <v>32</v>
      </c>
      <c r="B33" t="s">
        <v>33</v>
      </c>
      <c r="C33">
        <v>0</v>
      </c>
      <c r="D33">
        <v>0.93862815884476525</v>
      </c>
      <c r="E33">
        <v>6.1371841155234731E-2</v>
      </c>
      <c r="F33">
        <v>0.24113146497838112</v>
      </c>
      <c r="G33">
        <v>0.5812516771456725</v>
      </c>
      <c r="H33">
        <v>0.13666140075206556</v>
      </c>
      <c r="I33">
        <v>1.7825461342716665E-2</v>
      </c>
      <c r="J33">
        <v>6.1067471086184684E-3</v>
      </c>
      <c r="K33">
        <v>2.9648061765445411E-3</v>
      </c>
      <c r="L33">
        <v>1.4058442496001262E-2</v>
      </c>
      <c r="M33">
        <v>17078.009999999998</v>
      </c>
      <c r="N33" s="23">
        <v>99.97</v>
      </c>
      <c r="O33">
        <v>6.17</v>
      </c>
      <c r="P33">
        <v>1131.31</v>
      </c>
      <c r="Q33">
        <v>0</v>
      </c>
      <c r="R33">
        <v>0</v>
      </c>
    </row>
    <row r="34" spans="1:18" x14ac:dyDescent="0.25">
      <c r="A34">
        <v>33</v>
      </c>
      <c r="B34" t="s">
        <v>34</v>
      </c>
      <c r="C34">
        <v>0</v>
      </c>
      <c r="D34">
        <v>1</v>
      </c>
      <c r="E34">
        <v>0</v>
      </c>
      <c r="F34">
        <v>0.42970068364155756</v>
      </c>
      <c r="G34">
        <v>0.10251481869126387</v>
      </c>
      <c r="H34">
        <v>0.36146925602604096</v>
      </c>
      <c r="I34">
        <v>4.561528525555273E-2</v>
      </c>
      <c r="J34">
        <v>3.8012345026150328E-2</v>
      </c>
      <c r="K34">
        <v>5.1860838077426325E-3</v>
      </c>
      <c r="L34">
        <v>1.7501265760485132E-2</v>
      </c>
      <c r="M34">
        <v>18040.63</v>
      </c>
      <c r="N34" s="23">
        <v>100</v>
      </c>
      <c r="O34">
        <v>6.17</v>
      </c>
      <c r="P34">
        <v>1324.57</v>
      </c>
      <c r="Q34">
        <v>0</v>
      </c>
      <c r="R34">
        <v>329.23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Efesiensi</vt:lpstr>
      <vt:lpstr>Sheet2</vt:lpstr>
      <vt:lpstr>Sheet3</vt:lpstr>
      <vt:lpstr>Sheet4</vt:lpstr>
      <vt:lpstr>Proporsi</vt:lpstr>
      <vt:lpstr>Clustering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Shintia Putri</dc:creator>
  <cp:lastModifiedBy>Shintia Putri</cp:lastModifiedBy>
  <dcterms:created xsi:type="dcterms:W3CDTF">2025-09-20T16:23:29Z</dcterms:created>
  <dcterms:modified xsi:type="dcterms:W3CDTF">2026-02-02T08:21:56Z</dcterms:modified>
</cp:coreProperties>
</file>